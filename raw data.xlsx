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jl2011_cam_ac_uk/Documents/grading_chemistry/"/>
    </mc:Choice>
  </mc:AlternateContent>
  <xr:revisionPtr revIDLastSave="479" documentId="8_{E91D7AFC-4F5D-D349-8987-F9DC3D5174AA}" xr6:coauthVersionLast="47" xr6:coauthVersionMax="47" xr10:uidLastSave="{6F8825C7-A5F7-2C45-9846-B49FBF1E52E0}"/>
  <bookViews>
    <workbookView xWindow="0" yWindow="700" windowWidth="34200" windowHeight="19640" activeTab="6" xr2:uid="{812ED1B9-013C-0044-8982-DE6EC2461097}"/>
  </bookViews>
  <sheets>
    <sheet name="GPT-4.1" sheetId="2" r:id="rId1"/>
    <sheet name="GPT-remove" sheetId="8" r:id="rId2"/>
    <sheet name="Gemini 2.5 Flash" sheetId="3" r:id="rId3"/>
    <sheet name="baidu" sheetId="6" r:id="rId4"/>
    <sheet name="DSV" sheetId="7" r:id="rId5"/>
    <sheet name="Consistency test" sheetId="4" r:id="rId6"/>
    <sheet name="plot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" i="10"/>
  <c r="M23" i="8"/>
  <c r="M25" i="8"/>
  <c r="M26" i="8"/>
  <c r="M27" i="8"/>
  <c r="AC23" i="8"/>
  <c r="AC25" i="8"/>
  <c r="AC26" i="8"/>
  <c r="AC27" i="8"/>
  <c r="AH23" i="8"/>
  <c r="AH25" i="8"/>
  <c r="AH26" i="8"/>
  <c r="AH27" i="8"/>
  <c r="AG27" i="8"/>
  <c r="AF27" i="8"/>
  <c r="AE27" i="8"/>
  <c r="AB27" i="8"/>
  <c r="AA27" i="8"/>
  <c r="Z27" i="8"/>
  <c r="Y27" i="8"/>
  <c r="X27" i="8"/>
  <c r="V27" i="8"/>
  <c r="U27" i="8"/>
  <c r="T27" i="8"/>
  <c r="S27" i="8"/>
  <c r="R27" i="8"/>
  <c r="Q27" i="8"/>
  <c r="P27" i="8"/>
  <c r="N27" i="8"/>
  <c r="L27" i="8"/>
  <c r="J27" i="8"/>
  <c r="I27" i="8"/>
  <c r="H27" i="8"/>
  <c r="G27" i="8"/>
  <c r="F27" i="8"/>
  <c r="E27" i="8"/>
  <c r="C27" i="8"/>
  <c r="B27" i="8"/>
  <c r="AG26" i="8"/>
  <c r="AF26" i="8"/>
  <c r="AE26" i="8"/>
  <c r="AB26" i="8"/>
  <c r="AA26" i="8"/>
  <c r="Z26" i="8"/>
  <c r="Y26" i="8"/>
  <c r="X26" i="8"/>
  <c r="V26" i="8"/>
  <c r="U26" i="8"/>
  <c r="T26" i="8"/>
  <c r="S26" i="8"/>
  <c r="R26" i="8"/>
  <c r="Q26" i="8"/>
  <c r="P26" i="8"/>
  <c r="N26" i="8"/>
  <c r="L26" i="8"/>
  <c r="J26" i="8"/>
  <c r="I26" i="8"/>
  <c r="H26" i="8"/>
  <c r="G26" i="8"/>
  <c r="F26" i="8"/>
  <c r="E26" i="8"/>
  <c r="C26" i="8"/>
  <c r="B26" i="8"/>
  <c r="AG25" i="8"/>
  <c r="AF25" i="8"/>
  <c r="AE25" i="8"/>
  <c r="AB25" i="8"/>
  <c r="AA25" i="8"/>
  <c r="Z25" i="8"/>
  <c r="Y25" i="8"/>
  <c r="X25" i="8"/>
  <c r="V25" i="8"/>
  <c r="U25" i="8"/>
  <c r="T25" i="8"/>
  <c r="S25" i="8"/>
  <c r="R25" i="8"/>
  <c r="Q25" i="8"/>
  <c r="P25" i="8"/>
  <c r="N25" i="8"/>
  <c r="L25" i="8"/>
  <c r="J25" i="8"/>
  <c r="I25" i="8"/>
  <c r="H25" i="8"/>
  <c r="G25" i="8"/>
  <c r="F25" i="8"/>
  <c r="E25" i="8"/>
  <c r="C25" i="8"/>
  <c r="B25" i="8"/>
  <c r="AG23" i="8"/>
  <c r="AF23" i="8"/>
  <c r="AE23" i="8"/>
  <c r="AB23" i="8"/>
  <c r="AA23" i="8"/>
  <c r="Z23" i="8"/>
  <c r="Y23" i="8"/>
  <c r="X23" i="8"/>
  <c r="V23" i="8"/>
  <c r="U23" i="8"/>
  <c r="T23" i="8"/>
  <c r="S23" i="8"/>
  <c r="R23" i="8"/>
  <c r="Q23" i="8"/>
  <c r="P23" i="8"/>
  <c r="N23" i="8"/>
  <c r="L23" i="8"/>
  <c r="J23" i="8"/>
  <c r="I23" i="8"/>
  <c r="H23" i="8"/>
  <c r="G23" i="8"/>
  <c r="F23" i="8"/>
  <c r="E23" i="8"/>
  <c r="C23" i="8"/>
  <c r="B23" i="8"/>
  <c r="P23" i="2"/>
  <c r="Q23" i="2"/>
  <c r="R23" i="2"/>
  <c r="P25" i="2"/>
  <c r="Q25" i="2"/>
  <c r="R25" i="2"/>
  <c r="P26" i="2"/>
  <c r="Q26" i="2"/>
  <c r="R26" i="2"/>
  <c r="P27" i="2"/>
  <c r="Q27" i="2"/>
  <c r="R27" i="2"/>
  <c r="L23" i="2"/>
  <c r="L25" i="2"/>
  <c r="L26" i="2"/>
  <c r="L27" i="2"/>
  <c r="G23" i="2"/>
  <c r="H23" i="2"/>
  <c r="I23" i="2"/>
  <c r="G25" i="2"/>
  <c r="H25" i="2"/>
  <c r="I25" i="2"/>
  <c r="G26" i="2"/>
  <c r="H26" i="2"/>
  <c r="I26" i="2"/>
  <c r="G27" i="2"/>
  <c r="H27" i="2"/>
  <c r="I27" i="2"/>
  <c r="B23" i="2"/>
  <c r="B25" i="2"/>
  <c r="B26" i="2"/>
  <c r="B27" i="2"/>
  <c r="AG27" i="7"/>
  <c r="AF27" i="7"/>
  <c r="AE27" i="7"/>
  <c r="AD27" i="7"/>
  <c r="AB27" i="7"/>
  <c r="AA27" i="7"/>
  <c r="Z27" i="7"/>
  <c r="Y27" i="7"/>
  <c r="X27" i="7"/>
  <c r="W27" i="7"/>
  <c r="U27" i="7"/>
  <c r="T27" i="7"/>
  <c r="S27" i="7"/>
  <c r="R27" i="7"/>
  <c r="Q27" i="7"/>
  <c r="P27" i="7"/>
  <c r="O27" i="7"/>
  <c r="M27" i="7"/>
  <c r="L27" i="7"/>
  <c r="K27" i="7"/>
  <c r="I27" i="7"/>
  <c r="H27" i="7"/>
  <c r="G27" i="7"/>
  <c r="F27" i="7"/>
  <c r="E27" i="7"/>
  <c r="D27" i="7"/>
  <c r="B27" i="7"/>
  <c r="A27" i="7"/>
  <c r="AG26" i="7"/>
  <c r="AF26" i="7"/>
  <c r="AE26" i="7"/>
  <c r="AD26" i="7"/>
  <c r="AB26" i="7"/>
  <c r="AA26" i="7"/>
  <c r="Z26" i="7"/>
  <c r="Y26" i="7"/>
  <c r="X26" i="7"/>
  <c r="W26" i="7"/>
  <c r="U26" i="7"/>
  <c r="T26" i="7"/>
  <c r="S26" i="7"/>
  <c r="R26" i="7"/>
  <c r="Q26" i="7"/>
  <c r="P26" i="7"/>
  <c r="O26" i="7"/>
  <c r="M26" i="7"/>
  <c r="L26" i="7"/>
  <c r="K26" i="7"/>
  <c r="I26" i="7"/>
  <c r="H26" i="7"/>
  <c r="G26" i="7"/>
  <c r="F26" i="7"/>
  <c r="E26" i="7"/>
  <c r="D26" i="7"/>
  <c r="B26" i="7"/>
  <c r="A26" i="7"/>
  <c r="AG25" i="7"/>
  <c r="AF25" i="7"/>
  <c r="AE25" i="7"/>
  <c r="AD25" i="7"/>
  <c r="AB25" i="7"/>
  <c r="AA25" i="7"/>
  <c r="Z25" i="7"/>
  <c r="Y25" i="7"/>
  <c r="X25" i="7"/>
  <c r="W25" i="7"/>
  <c r="U25" i="7"/>
  <c r="T25" i="7"/>
  <c r="S25" i="7"/>
  <c r="R25" i="7"/>
  <c r="Q25" i="7"/>
  <c r="P25" i="7"/>
  <c r="O25" i="7"/>
  <c r="M25" i="7"/>
  <c r="L25" i="7"/>
  <c r="K25" i="7"/>
  <c r="I25" i="7"/>
  <c r="H25" i="7"/>
  <c r="G25" i="7"/>
  <c r="F25" i="7"/>
  <c r="E25" i="7"/>
  <c r="D25" i="7"/>
  <c r="B25" i="7"/>
  <c r="A25" i="7"/>
  <c r="AG23" i="7"/>
  <c r="AF23" i="7"/>
  <c r="AE23" i="7"/>
  <c r="AD23" i="7"/>
  <c r="AB23" i="7"/>
  <c r="AA23" i="7"/>
  <c r="Z23" i="7"/>
  <c r="Y23" i="7"/>
  <c r="X23" i="7"/>
  <c r="W23" i="7"/>
  <c r="U23" i="7"/>
  <c r="T23" i="7"/>
  <c r="S23" i="7"/>
  <c r="R23" i="7"/>
  <c r="Q23" i="7"/>
  <c r="P23" i="7"/>
  <c r="O23" i="7"/>
  <c r="M23" i="7"/>
  <c r="L23" i="7"/>
  <c r="K23" i="7"/>
  <c r="I23" i="7"/>
  <c r="H23" i="7"/>
  <c r="G23" i="7"/>
  <c r="F23" i="7"/>
  <c r="E23" i="7"/>
  <c r="D23" i="7"/>
  <c r="B23" i="7"/>
  <c r="A23" i="7"/>
  <c r="Z23" i="6"/>
  <c r="AA23" i="6"/>
  <c r="Z25" i="6"/>
  <c r="AA25" i="6"/>
  <c r="Z26" i="6"/>
  <c r="AA26" i="6"/>
  <c r="Z27" i="6"/>
  <c r="AA27" i="6"/>
  <c r="AF23" i="6"/>
  <c r="AG23" i="6"/>
  <c r="AF25" i="6"/>
  <c r="AG25" i="6"/>
  <c r="AF26" i="6"/>
  <c r="AG26" i="6"/>
  <c r="AF27" i="6"/>
  <c r="AG27" i="6"/>
  <c r="E2" i="4"/>
  <c r="E3" i="4"/>
  <c r="E4" i="4"/>
  <c r="Z23" i="3"/>
  <c r="AA23" i="3"/>
  <c r="Z25" i="3"/>
  <c r="AA25" i="3"/>
  <c r="Z26" i="3"/>
  <c r="AA26" i="3"/>
  <c r="Z27" i="3"/>
  <c r="AA27" i="3"/>
  <c r="Q23" i="3"/>
  <c r="Q25" i="3"/>
  <c r="Q26" i="3"/>
  <c r="Q27" i="3"/>
  <c r="P23" i="6"/>
  <c r="Q23" i="6"/>
  <c r="R23" i="6"/>
  <c r="P25" i="6"/>
  <c r="Q25" i="6"/>
  <c r="R25" i="6"/>
  <c r="P26" i="6"/>
  <c r="Q26" i="6"/>
  <c r="R26" i="6"/>
  <c r="P27" i="6"/>
  <c r="Q27" i="6"/>
  <c r="R27" i="6"/>
  <c r="P23" i="3"/>
  <c r="R23" i="3"/>
  <c r="P25" i="3"/>
  <c r="R25" i="3"/>
  <c r="P26" i="3"/>
  <c r="R26" i="3"/>
  <c r="P27" i="3"/>
  <c r="R27" i="3"/>
  <c r="L23" i="3"/>
  <c r="L25" i="3"/>
  <c r="L26" i="3"/>
  <c r="L27" i="3"/>
  <c r="AF23" i="3"/>
  <c r="AG23" i="3"/>
  <c r="AF25" i="3"/>
  <c r="AG25" i="3"/>
  <c r="AF26" i="3"/>
  <c r="AG26" i="3"/>
  <c r="AF27" i="3"/>
  <c r="AG27" i="3"/>
  <c r="L23" i="6"/>
  <c r="L25" i="6"/>
  <c r="L26" i="6"/>
  <c r="L27" i="6"/>
  <c r="AE27" i="6"/>
  <c r="AD27" i="6"/>
  <c r="AB27" i="6"/>
  <c r="Y27" i="6"/>
  <c r="X27" i="6"/>
  <c r="W27" i="6"/>
  <c r="U27" i="6"/>
  <c r="T27" i="6"/>
  <c r="S27" i="6"/>
  <c r="O27" i="6"/>
  <c r="M27" i="6"/>
  <c r="K27" i="6"/>
  <c r="I27" i="6"/>
  <c r="H27" i="6"/>
  <c r="G27" i="6"/>
  <c r="F27" i="6"/>
  <c r="E27" i="6"/>
  <c r="D27" i="6"/>
  <c r="B27" i="6"/>
  <c r="A27" i="6"/>
  <c r="AE26" i="6"/>
  <c r="AD26" i="6"/>
  <c r="AB26" i="6"/>
  <c r="Y26" i="6"/>
  <c r="X26" i="6"/>
  <c r="W26" i="6"/>
  <c r="U26" i="6"/>
  <c r="T26" i="6"/>
  <c r="S26" i="6"/>
  <c r="O26" i="6"/>
  <c r="M26" i="6"/>
  <c r="K26" i="6"/>
  <c r="I26" i="6"/>
  <c r="H26" i="6"/>
  <c r="G26" i="6"/>
  <c r="F26" i="6"/>
  <c r="E26" i="6"/>
  <c r="D26" i="6"/>
  <c r="B26" i="6"/>
  <c r="A26" i="6"/>
  <c r="AE25" i="6"/>
  <c r="AD25" i="6"/>
  <c r="AB25" i="6"/>
  <c r="Y25" i="6"/>
  <c r="X25" i="6"/>
  <c r="W25" i="6"/>
  <c r="U25" i="6"/>
  <c r="T25" i="6"/>
  <c r="S25" i="6"/>
  <c r="O25" i="6"/>
  <c r="M25" i="6"/>
  <c r="K25" i="6"/>
  <c r="I25" i="6"/>
  <c r="H25" i="6"/>
  <c r="G25" i="6"/>
  <c r="F25" i="6"/>
  <c r="E25" i="6"/>
  <c r="D25" i="6"/>
  <c r="B25" i="6"/>
  <c r="A25" i="6"/>
  <c r="AE23" i="6"/>
  <c r="AD23" i="6"/>
  <c r="AB23" i="6"/>
  <c r="Y23" i="6"/>
  <c r="X23" i="6"/>
  <c r="W23" i="6"/>
  <c r="U23" i="6"/>
  <c r="T23" i="6"/>
  <c r="S23" i="6"/>
  <c r="O23" i="6"/>
  <c r="M23" i="6"/>
  <c r="K23" i="6"/>
  <c r="I23" i="6"/>
  <c r="H23" i="6"/>
  <c r="G23" i="6"/>
  <c r="F23" i="6"/>
  <c r="E23" i="6"/>
  <c r="D23" i="6"/>
  <c r="B23" i="6"/>
  <c r="A23" i="6"/>
  <c r="D2" i="4"/>
  <c r="D3" i="4"/>
  <c r="D4" i="4"/>
  <c r="C2" i="4"/>
  <c r="C3" i="4"/>
  <c r="C4" i="4"/>
  <c r="B4" i="4"/>
  <c r="B3" i="4"/>
  <c r="B2" i="4"/>
  <c r="X25" i="2"/>
  <c r="Y25" i="2"/>
  <c r="Z25" i="2"/>
  <c r="AA25" i="2"/>
  <c r="X26" i="2"/>
  <c r="Y26" i="2"/>
  <c r="Z26" i="2"/>
  <c r="AA26" i="2"/>
  <c r="X27" i="2"/>
  <c r="Y27" i="2"/>
  <c r="Z27" i="2"/>
  <c r="AA27" i="2"/>
  <c r="X23" i="2"/>
  <c r="Y23" i="2"/>
  <c r="Z23" i="2"/>
  <c r="AA23" i="2"/>
  <c r="F25" i="2"/>
  <c r="F26" i="2"/>
  <c r="F27" i="2"/>
  <c r="F23" i="2"/>
  <c r="AF25" i="2"/>
  <c r="AF26" i="2"/>
  <c r="AF27" i="2"/>
  <c r="AF23" i="2"/>
  <c r="X25" i="3"/>
  <c r="Y25" i="3"/>
  <c r="X26" i="3"/>
  <c r="Y26" i="3"/>
  <c r="X27" i="3"/>
  <c r="Y27" i="3"/>
  <c r="X23" i="3"/>
  <c r="Y23" i="3"/>
  <c r="F25" i="3"/>
  <c r="G25" i="3"/>
  <c r="H25" i="3"/>
  <c r="I25" i="3"/>
  <c r="F26" i="3"/>
  <c r="G26" i="3"/>
  <c r="H26" i="3"/>
  <c r="I26" i="3"/>
  <c r="F27" i="3"/>
  <c r="G27" i="3"/>
  <c r="H27" i="3"/>
  <c r="I27" i="3"/>
  <c r="F23" i="3"/>
  <c r="G23" i="3"/>
  <c r="H23" i="3"/>
  <c r="I23" i="3"/>
  <c r="B25" i="3"/>
  <c r="B26" i="3"/>
  <c r="B27" i="3"/>
  <c r="B23" i="3"/>
  <c r="AE27" i="3"/>
  <c r="AD27" i="3"/>
  <c r="AB27" i="3"/>
  <c r="W27" i="3"/>
  <c r="U27" i="3"/>
  <c r="T27" i="3"/>
  <c r="S27" i="3"/>
  <c r="O27" i="3"/>
  <c r="M27" i="3"/>
  <c r="K27" i="3"/>
  <c r="E27" i="3"/>
  <c r="D27" i="3"/>
  <c r="A27" i="3"/>
  <c r="AE26" i="3"/>
  <c r="AD26" i="3"/>
  <c r="AB26" i="3"/>
  <c r="W26" i="3"/>
  <c r="U26" i="3"/>
  <c r="T26" i="3"/>
  <c r="S26" i="3"/>
  <c r="O26" i="3"/>
  <c r="M26" i="3"/>
  <c r="K26" i="3"/>
  <c r="E26" i="3"/>
  <c r="D26" i="3"/>
  <c r="A26" i="3"/>
  <c r="AE25" i="3"/>
  <c r="AD25" i="3"/>
  <c r="AB25" i="3"/>
  <c r="W25" i="3"/>
  <c r="U25" i="3"/>
  <c r="T25" i="3"/>
  <c r="S25" i="3"/>
  <c r="O25" i="3"/>
  <c r="M25" i="3"/>
  <c r="K25" i="3"/>
  <c r="E25" i="3"/>
  <c r="D25" i="3"/>
  <c r="A25" i="3"/>
  <c r="AE23" i="3"/>
  <c r="AD23" i="3"/>
  <c r="AB23" i="3"/>
  <c r="W23" i="3"/>
  <c r="U23" i="3"/>
  <c r="T23" i="3"/>
  <c r="S23" i="3"/>
  <c r="O23" i="3"/>
  <c r="M23" i="3"/>
  <c r="K23" i="3"/>
  <c r="E23" i="3"/>
  <c r="D23" i="3"/>
  <c r="A23" i="3"/>
  <c r="T23" i="2"/>
  <c r="T25" i="2"/>
  <c r="T26" i="2"/>
  <c r="T27" i="2"/>
  <c r="M23" i="2"/>
  <c r="M25" i="2"/>
  <c r="M26" i="2"/>
  <c r="M27" i="2"/>
  <c r="U23" i="2"/>
  <c r="U25" i="2"/>
  <c r="U26" i="2"/>
  <c r="U27" i="2"/>
  <c r="AE23" i="2"/>
  <c r="AE25" i="2"/>
  <c r="AE26" i="2"/>
  <c r="AE27" i="2"/>
  <c r="AB23" i="2"/>
  <c r="AB25" i="2"/>
  <c r="AB26" i="2"/>
  <c r="AB27" i="2"/>
  <c r="AD27" i="2"/>
  <c r="AD26" i="2"/>
  <c r="AD25" i="2"/>
  <c r="AD23" i="2"/>
  <c r="W27" i="2"/>
  <c r="W26" i="2"/>
  <c r="W25" i="2"/>
  <c r="W23" i="2"/>
  <c r="S27" i="2"/>
  <c r="O27" i="2"/>
  <c r="S26" i="2"/>
  <c r="O26" i="2"/>
  <c r="S25" i="2"/>
  <c r="O25" i="2"/>
  <c r="S23" i="2"/>
  <c r="O23" i="2"/>
  <c r="K27" i="2"/>
  <c r="K26" i="2"/>
  <c r="K25" i="2"/>
  <c r="K23" i="2"/>
  <c r="E27" i="2"/>
  <c r="D27" i="2"/>
  <c r="E26" i="2"/>
  <c r="D26" i="2"/>
  <c r="E25" i="2"/>
  <c r="D25" i="2"/>
  <c r="E23" i="2"/>
  <c r="D23" i="2"/>
  <c r="A27" i="2"/>
  <c r="A26" i="2"/>
  <c r="A25" i="2"/>
  <c r="A23" i="2"/>
</calcChain>
</file>

<file path=xl/sharedStrings.xml><?xml version="1.0" encoding="utf-8"?>
<sst xmlns="http://schemas.openxmlformats.org/spreadsheetml/2006/main" count="179" uniqueCount="41">
  <si>
    <t>Nature</t>
  </si>
  <si>
    <t>JACS</t>
  </si>
  <si>
    <t>JMCA</t>
  </si>
  <si>
    <t>Small</t>
  </si>
  <si>
    <t>Chem</t>
  </si>
  <si>
    <t>PNAS</t>
  </si>
  <si>
    <t>Science</t>
  </si>
  <si>
    <t>JACS Au</t>
  </si>
  <si>
    <t>AFM</t>
  </si>
  <si>
    <t>Adv Mater</t>
  </si>
  <si>
    <t>Sci Adv</t>
  </si>
  <si>
    <t>Nat Commun</t>
  </si>
  <si>
    <t>Nat Nanothnol</t>
  </si>
  <si>
    <t>Nat Energy</t>
  </si>
  <si>
    <t>Nat Electronics</t>
  </si>
  <si>
    <t>Nat Phys</t>
  </si>
  <si>
    <t>Nat Chem</t>
  </si>
  <si>
    <t>Nat Mater</t>
  </si>
  <si>
    <t>Chem Sci</t>
  </si>
  <si>
    <t>CCS Chem</t>
  </si>
  <si>
    <t>ACS Cent Sci</t>
  </si>
  <si>
    <t>PRB</t>
  </si>
  <si>
    <t>Macromolecules</t>
  </si>
  <si>
    <t>mean</t>
  </si>
  <si>
    <t>stdev</t>
  </si>
  <si>
    <t>Q3-Q1</t>
  </si>
  <si>
    <t>o4-mini</t>
  </si>
  <si>
    <t>o3</t>
  </si>
  <si>
    <t>Joule</t>
  </si>
  <si>
    <t>ACIE</t>
  </si>
  <si>
    <t>PRL</t>
  </si>
  <si>
    <t>ChemComm</t>
  </si>
  <si>
    <t>PRX</t>
  </si>
  <si>
    <t>Deepseek R1</t>
  </si>
  <si>
    <t>average</t>
  </si>
  <si>
    <t>Q1</t>
  </si>
  <si>
    <t>Q2</t>
  </si>
  <si>
    <t>Q3</t>
  </si>
  <si>
    <t>IQR</t>
  </si>
  <si>
    <t>Higher Quartile</t>
  </si>
  <si>
    <t>Lower 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</si>
</sst>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plot!$B$1</c:f>
              <c:strCache>
                <c:ptCount val="1"/>
                <c:pt idx="0">
                  <c:v>Lower Quartile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plot!$A$2:$A$27</c:f>
              <c:strCache>
                <c:ptCount val="26"/>
                <c:pt idx="0">
                  <c:v>Nature</c:v>
                </c:pt>
                <c:pt idx="1">
                  <c:v>Nat Nanothnol</c:v>
                </c:pt>
                <c:pt idx="2">
                  <c:v>Nat Phys</c:v>
                </c:pt>
                <c:pt idx="3">
                  <c:v>Nat Mater</c:v>
                </c:pt>
                <c:pt idx="4">
                  <c:v>Science</c:v>
                </c:pt>
                <c:pt idx="5">
                  <c:v>Nat Chem</c:v>
                </c:pt>
                <c:pt idx="6">
                  <c:v>Nat Electronics</c:v>
                </c:pt>
                <c:pt idx="7">
                  <c:v>Nat Energy</c:v>
                </c:pt>
                <c:pt idx="8">
                  <c:v>PRX</c:v>
                </c:pt>
                <c:pt idx="9">
                  <c:v>Nat Commun</c:v>
                </c:pt>
                <c:pt idx="10">
                  <c:v>PRL</c:v>
                </c:pt>
                <c:pt idx="11">
                  <c:v>JACS</c:v>
                </c:pt>
                <c:pt idx="12">
                  <c:v>Sci Adv</c:v>
                </c:pt>
                <c:pt idx="13">
                  <c:v>Chem</c:v>
                </c:pt>
                <c:pt idx="14">
                  <c:v>ACIE</c:v>
                </c:pt>
                <c:pt idx="15">
                  <c:v>ACS Cent Sci</c:v>
                </c:pt>
                <c:pt idx="16">
                  <c:v>Adv Mater</c:v>
                </c:pt>
                <c:pt idx="17">
                  <c:v>AFM</c:v>
                </c:pt>
                <c:pt idx="18">
                  <c:v>PNAS</c:v>
                </c:pt>
                <c:pt idx="19">
                  <c:v>JACS Au</c:v>
                </c:pt>
                <c:pt idx="20">
                  <c:v>Chem Sci</c:v>
                </c:pt>
                <c:pt idx="21">
                  <c:v>Small</c:v>
                </c:pt>
                <c:pt idx="22">
                  <c:v>JMCA</c:v>
                </c:pt>
                <c:pt idx="23">
                  <c:v>Macromolecules</c:v>
                </c:pt>
                <c:pt idx="24">
                  <c:v>PRB</c:v>
                </c:pt>
                <c:pt idx="25">
                  <c:v>ChemComm</c:v>
                </c:pt>
              </c:strCache>
            </c:strRef>
          </c:cat>
          <c:val>
            <c:numRef>
              <c:f>plot!$B$2:$B$27</c:f>
              <c:numCache>
                <c:formatCode>General</c:formatCode>
                <c:ptCount val="26"/>
                <c:pt idx="0">
                  <c:v>65.825000000000003</c:v>
                </c:pt>
                <c:pt idx="1">
                  <c:v>56.774999999999999</c:v>
                </c:pt>
                <c:pt idx="2">
                  <c:v>53.6</c:v>
                </c:pt>
                <c:pt idx="3">
                  <c:v>51.475000000000001</c:v>
                </c:pt>
                <c:pt idx="4">
                  <c:v>50.65</c:v>
                </c:pt>
                <c:pt idx="5">
                  <c:v>48.95</c:v>
                </c:pt>
                <c:pt idx="6">
                  <c:v>43.625</c:v>
                </c:pt>
                <c:pt idx="7">
                  <c:v>43.3</c:v>
                </c:pt>
                <c:pt idx="8">
                  <c:v>40.35</c:v>
                </c:pt>
                <c:pt idx="9">
                  <c:v>38.75</c:v>
                </c:pt>
                <c:pt idx="10">
                  <c:v>37.575000000000003</c:v>
                </c:pt>
                <c:pt idx="11">
                  <c:v>36.825000000000003</c:v>
                </c:pt>
                <c:pt idx="12">
                  <c:v>35.800000000000004</c:v>
                </c:pt>
                <c:pt idx="13">
                  <c:v>35.325000000000003</c:v>
                </c:pt>
                <c:pt idx="14">
                  <c:v>35</c:v>
                </c:pt>
                <c:pt idx="15">
                  <c:v>34.6</c:v>
                </c:pt>
                <c:pt idx="16">
                  <c:v>34.099999999999994</c:v>
                </c:pt>
                <c:pt idx="17">
                  <c:v>34</c:v>
                </c:pt>
                <c:pt idx="18">
                  <c:v>33.65</c:v>
                </c:pt>
                <c:pt idx="19">
                  <c:v>32.950000000000003</c:v>
                </c:pt>
                <c:pt idx="20">
                  <c:v>32.9</c:v>
                </c:pt>
                <c:pt idx="21">
                  <c:v>29.2</c:v>
                </c:pt>
                <c:pt idx="22">
                  <c:v>28.85</c:v>
                </c:pt>
                <c:pt idx="23">
                  <c:v>28.85</c:v>
                </c:pt>
                <c:pt idx="24">
                  <c:v>28.225000000000001</c:v>
                </c:pt>
                <c:pt idx="25">
                  <c:v>27.25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364C-B68F-8B83BE44F220}"/>
            </c:ext>
          </c:extLst>
        </c:ser>
        <c:ser>
          <c:idx val="1"/>
          <c:order val="1"/>
          <c:tx>
            <c:strRef>
              <c:f>plot!$D$1</c:f>
              <c:strCache>
                <c:ptCount val="1"/>
                <c:pt idx="0">
                  <c:v>Higher Quartile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plot!$A$2:$A$27</c:f>
              <c:strCache>
                <c:ptCount val="26"/>
                <c:pt idx="0">
                  <c:v>Nature</c:v>
                </c:pt>
                <c:pt idx="1">
                  <c:v>Nat Nanothnol</c:v>
                </c:pt>
                <c:pt idx="2">
                  <c:v>Nat Phys</c:v>
                </c:pt>
                <c:pt idx="3">
                  <c:v>Nat Mater</c:v>
                </c:pt>
                <c:pt idx="4">
                  <c:v>Science</c:v>
                </c:pt>
                <c:pt idx="5">
                  <c:v>Nat Chem</c:v>
                </c:pt>
                <c:pt idx="6">
                  <c:v>Nat Electronics</c:v>
                </c:pt>
                <c:pt idx="7">
                  <c:v>Nat Energy</c:v>
                </c:pt>
                <c:pt idx="8">
                  <c:v>PRX</c:v>
                </c:pt>
                <c:pt idx="9">
                  <c:v>Nat Commun</c:v>
                </c:pt>
                <c:pt idx="10">
                  <c:v>PRL</c:v>
                </c:pt>
                <c:pt idx="11">
                  <c:v>JACS</c:v>
                </c:pt>
                <c:pt idx="12">
                  <c:v>Sci Adv</c:v>
                </c:pt>
                <c:pt idx="13">
                  <c:v>Chem</c:v>
                </c:pt>
                <c:pt idx="14">
                  <c:v>ACIE</c:v>
                </c:pt>
                <c:pt idx="15">
                  <c:v>ACS Cent Sci</c:v>
                </c:pt>
                <c:pt idx="16">
                  <c:v>Adv Mater</c:v>
                </c:pt>
                <c:pt idx="17">
                  <c:v>AFM</c:v>
                </c:pt>
                <c:pt idx="18">
                  <c:v>PNAS</c:v>
                </c:pt>
                <c:pt idx="19">
                  <c:v>JACS Au</c:v>
                </c:pt>
                <c:pt idx="20">
                  <c:v>Chem Sci</c:v>
                </c:pt>
                <c:pt idx="21">
                  <c:v>Small</c:v>
                </c:pt>
                <c:pt idx="22">
                  <c:v>JMCA</c:v>
                </c:pt>
                <c:pt idx="23">
                  <c:v>Macromolecules</c:v>
                </c:pt>
                <c:pt idx="24">
                  <c:v>PRB</c:v>
                </c:pt>
                <c:pt idx="25">
                  <c:v>ChemComm</c:v>
                </c:pt>
              </c:strCache>
            </c:strRef>
          </c:cat>
          <c:val>
            <c:numRef>
              <c:f>plot!$C$2:$C$27</c:f>
              <c:numCache>
                <c:formatCode>General</c:formatCode>
                <c:ptCount val="26"/>
                <c:pt idx="0">
                  <c:v>14.024999999999991</c:v>
                </c:pt>
                <c:pt idx="1">
                  <c:v>6.7999999999999972</c:v>
                </c:pt>
                <c:pt idx="2">
                  <c:v>8.6000000000000014</c:v>
                </c:pt>
                <c:pt idx="3">
                  <c:v>10.324999999999996</c:v>
                </c:pt>
                <c:pt idx="4">
                  <c:v>5.1750000000000043</c:v>
                </c:pt>
                <c:pt idx="5">
                  <c:v>16.299999999999997</c:v>
                </c:pt>
                <c:pt idx="6">
                  <c:v>12.549999999999997</c:v>
                </c:pt>
                <c:pt idx="7">
                  <c:v>14.550000000000004</c:v>
                </c:pt>
                <c:pt idx="8">
                  <c:v>9.8500000000000014</c:v>
                </c:pt>
                <c:pt idx="9">
                  <c:v>11.75</c:v>
                </c:pt>
                <c:pt idx="10">
                  <c:v>10.674999999999997</c:v>
                </c:pt>
                <c:pt idx="11">
                  <c:v>4.7749999999999986</c:v>
                </c:pt>
                <c:pt idx="12">
                  <c:v>9.7999999999999972</c:v>
                </c:pt>
                <c:pt idx="13">
                  <c:v>6.75</c:v>
                </c:pt>
                <c:pt idx="14">
                  <c:v>4.625</c:v>
                </c:pt>
                <c:pt idx="15">
                  <c:v>2.6000000000000014</c:v>
                </c:pt>
                <c:pt idx="16">
                  <c:v>5.0500000000000043</c:v>
                </c:pt>
                <c:pt idx="17">
                  <c:v>3</c:v>
                </c:pt>
                <c:pt idx="18">
                  <c:v>6.0249999999999986</c:v>
                </c:pt>
                <c:pt idx="19">
                  <c:v>3.0999999999999943</c:v>
                </c:pt>
                <c:pt idx="20">
                  <c:v>3.8500000000000014</c:v>
                </c:pt>
                <c:pt idx="21">
                  <c:v>3.0749999999999993</c:v>
                </c:pt>
                <c:pt idx="22">
                  <c:v>2.1499999999999986</c:v>
                </c:pt>
                <c:pt idx="23">
                  <c:v>1.75</c:v>
                </c:pt>
                <c:pt idx="24">
                  <c:v>3.9500000000000028</c:v>
                </c:pt>
                <c:pt idx="25">
                  <c:v>2.0500000000000007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E-364C-B68F-8B83BE44F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5889647"/>
        <c:axId val="515891359"/>
      </c:barChart>
      <c:catAx>
        <c:axId val="51588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91359"/>
        <c:crosses val="autoZero"/>
        <c:auto val="1"/>
        <c:lblAlgn val="ctr"/>
        <c:lblOffset val="100"/>
        <c:noMultiLvlLbl val="0"/>
      </c:catAx>
      <c:valAx>
        <c:axId val="515891359"/>
        <c:scaling>
          <c:orientation val="minMax"/>
          <c:max val="8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896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8787641233122985"/>
          <c:y val="0.13358919520964166"/>
          <c:w val="0.17186307595900441"/>
          <c:h val="0.186542294152575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416277</xdr:colOff>
      <xdr:row>1</xdr:row>
      <xdr:rowOff>14111</xdr:rowOff>
    </xdr:from>
    <xdr:to>
      <xdr:col>18</xdr:col>
      <xdr:colOff>592666</xdr:colOff>
      <xdr:row>33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339D51-F0E9-254E-DFB2-D0031F577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B3BF-D24E-3241-B62F-16201CCE2C2D}">
  <dimension ref="A1:AG27"/>
  <sheetViews>
    <sheetView workbookViewId="0">
      <selection activeCell="G25" sqref="G25"/>
    </sheetView>
  </sheetViews>
  <sheetFormatPr baseColWidth="10" defaultColWidth="10.6640625" defaultRowHeight="16" x14ac:dyDescent="0.2"/>
  <cols>
    <col min="3" max="3" width="2.33203125" style="2" customWidth="1"/>
    <col min="10" max="10" width="2.33203125" style="2" customWidth="1"/>
    <col min="14" max="14" width="2.33203125" style="2" customWidth="1"/>
    <col min="22" max="22" width="2.33203125" style="2" customWidth="1"/>
    <col min="29" max="29" width="2.33203125" style="2" customWidth="1"/>
  </cols>
  <sheetData>
    <row r="1" spans="1:33" x14ac:dyDescent="0.2">
      <c r="A1" t="s">
        <v>0</v>
      </c>
      <c r="B1" t="s">
        <v>6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K1" t="s">
        <v>11</v>
      </c>
      <c r="L1" t="s">
        <v>28</v>
      </c>
      <c r="M1" t="s">
        <v>10</v>
      </c>
      <c r="O1" t="s">
        <v>1</v>
      </c>
      <c r="P1" t="s">
        <v>29</v>
      </c>
      <c r="Q1" t="s">
        <v>32</v>
      </c>
      <c r="R1" t="s">
        <v>30</v>
      </c>
      <c r="S1" t="s">
        <v>9</v>
      </c>
      <c r="T1" t="s">
        <v>4</v>
      </c>
      <c r="U1" t="s">
        <v>5</v>
      </c>
      <c r="W1" t="s">
        <v>18</v>
      </c>
      <c r="X1" t="s">
        <v>8</v>
      </c>
      <c r="Y1" t="s">
        <v>21</v>
      </c>
      <c r="Z1" t="s">
        <v>20</v>
      </c>
      <c r="AA1" t="s">
        <v>7</v>
      </c>
      <c r="AB1" t="s">
        <v>19</v>
      </c>
      <c r="AD1" t="s">
        <v>2</v>
      </c>
      <c r="AE1" t="s">
        <v>3</v>
      </c>
      <c r="AF1" t="s">
        <v>22</v>
      </c>
      <c r="AG1" t="s">
        <v>31</v>
      </c>
    </row>
    <row r="2" spans="1:33" x14ac:dyDescent="0.2">
      <c r="A2">
        <v>97.2</v>
      </c>
      <c r="B2">
        <v>92.5</v>
      </c>
      <c r="D2">
        <v>64.099999999999994</v>
      </c>
      <c r="E2">
        <v>59.9</v>
      </c>
      <c r="F2">
        <v>70.5</v>
      </c>
      <c r="G2">
        <v>55.1</v>
      </c>
      <c r="H2">
        <v>64.2</v>
      </c>
      <c r="I2">
        <v>60.6</v>
      </c>
      <c r="K2">
        <v>40.6</v>
      </c>
      <c r="M2">
        <v>41.2</v>
      </c>
      <c r="O2">
        <v>45.5</v>
      </c>
      <c r="P2">
        <v>40.799999999999997</v>
      </c>
      <c r="Q2">
        <v>50</v>
      </c>
      <c r="R2">
        <v>39.4</v>
      </c>
      <c r="S2">
        <v>46.3</v>
      </c>
      <c r="T2">
        <v>35.6</v>
      </c>
      <c r="U2">
        <v>35.4</v>
      </c>
      <c r="W2">
        <v>31.8</v>
      </c>
      <c r="X2">
        <v>42.5</v>
      </c>
      <c r="Y2">
        <v>29.6</v>
      </c>
      <c r="Z2">
        <v>36.200000000000003</v>
      </c>
      <c r="AA2">
        <v>30.3</v>
      </c>
      <c r="AB2">
        <v>33.4</v>
      </c>
      <c r="AD2">
        <v>29.2</v>
      </c>
      <c r="AE2">
        <v>28.4</v>
      </c>
      <c r="AF2">
        <v>26.6</v>
      </c>
    </row>
    <row r="3" spans="1:33" x14ac:dyDescent="0.2">
      <c r="A3">
        <v>87.2</v>
      </c>
      <c r="B3">
        <v>81.8</v>
      </c>
      <c r="D3">
        <v>81</v>
      </c>
      <c r="E3">
        <v>63.1</v>
      </c>
      <c r="F3">
        <v>69.400000000000006</v>
      </c>
      <c r="G3">
        <v>62.8</v>
      </c>
      <c r="H3">
        <v>58.2</v>
      </c>
      <c r="I3">
        <v>67.099999999999994</v>
      </c>
      <c r="K3">
        <v>46.8</v>
      </c>
      <c r="L3">
        <v>40.299999999999997</v>
      </c>
      <c r="M3">
        <v>39.299999999999997</v>
      </c>
      <c r="O3">
        <v>36.9</v>
      </c>
      <c r="P3">
        <v>39.700000000000003</v>
      </c>
      <c r="Q3">
        <v>46.9</v>
      </c>
      <c r="R3">
        <v>40.4</v>
      </c>
      <c r="S3">
        <v>37.5</v>
      </c>
      <c r="T3">
        <v>36.9</v>
      </c>
      <c r="U3">
        <v>51.6</v>
      </c>
      <c r="W3">
        <v>35</v>
      </c>
      <c r="X3">
        <v>33.1</v>
      </c>
      <c r="Y3">
        <v>28.5</v>
      </c>
      <c r="Z3">
        <v>36.9</v>
      </c>
      <c r="AA3">
        <v>33.5</v>
      </c>
      <c r="AB3">
        <v>28.8</v>
      </c>
      <c r="AD3">
        <v>29.2</v>
      </c>
      <c r="AE3">
        <v>33.200000000000003</v>
      </c>
      <c r="AF3">
        <v>30.8</v>
      </c>
    </row>
    <row r="4" spans="1:33" x14ac:dyDescent="0.2">
      <c r="A4">
        <v>98.8</v>
      </c>
      <c r="B4">
        <v>68.8</v>
      </c>
      <c r="D4">
        <v>69.8</v>
      </c>
      <c r="E4">
        <v>54.2</v>
      </c>
      <c r="F4">
        <v>72.5</v>
      </c>
      <c r="G4">
        <v>63.7</v>
      </c>
      <c r="H4">
        <v>65.2</v>
      </c>
      <c r="I4">
        <v>68.3</v>
      </c>
      <c r="K4">
        <v>42.5</v>
      </c>
      <c r="L4">
        <v>42.2</v>
      </c>
      <c r="M4">
        <v>37.200000000000003</v>
      </c>
      <c r="O4">
        <v>44</v>
      </c>
      <c r="P4">
        <v>34.9</v>
      </c>
      <c r="Q4">
        <v>40.700000000000003</v>
      </c>
      <c r="R4">
        <v>38.799999999999997</v>
      </c>
      <c r="S4">
        <v>39.799999999999997</v>
      </c>
      <c r="T4">
        <v>42.1</v>
      </c>
      <c r="U4">
        <v>31.1</v>
      </c>
      <c r="W4">
        <v>36.9</v>
      </c>
      <c r="X4">
        <v>42.9</v>
      </c>
      <c r="Y4">
        <v>31.8</v>
      </c>
      <c r="Z4">
        <v>30.9</v>
      </c>
      <c r="AA4">
        <v>33.200000000000003</v>
      </c>
      <c r="AB4">
        <v>36.299999999999997</v>
      </c>
      <c r="AD4">
        <v>34.200000000000003</v>
      </c>
      <c r="AE4">
        <v>31.6</v>
      </c>
      <c r="AF4">
        <v>32.200000000000003</v>
      </c>
    </row>
    <row r="5" spans="1:33" x14ac:dyDescent="0.2">
      <c r="A5">
        <v>97.5</v>
      </c>
      <c r="D5">
        <v>66.2</v>
      </c>
      <c r="E5">
        <v>65.099999999999994</v>
      </c>
      <c r="F5">
        <v>61.1</v>
      </c>
      <c r="G5">
        <v>63.8</v>
      </c>
      <c r="H5">
        <v>65.8</v>
      </c>
      <c r="I5">
        <v>66.2</v>
      </c>
      <c r="K5">
        <v>51.6</v>
      </c>
      <c r="L5">
        <v>49.3</v>
      </c>
      <c r="M5">
        <v>38.1</v>
      </c>
      <c r="O5">
        <v>44.2</v>
      </c>
      <c r="P5">
        <v>41.2</v>
      </c>
      <c r="Q5">
        <v>41.1</v>
      </c>
      <c r="R5">
        <v>40.6</v>
      </c>
      <c r="S5">
        <v>33</v>
      </c>
      <c r="T5">
        <v>46.8</v>
      </c>
      <c r="U5">
        <v>39.1</v>
      </c>
      <c r="W5">
        <v>33.6</v>
      </c>
      <c r="X5">
        <v>34.299999999999997</v>
      </c>
      <c r="Y5">
        <v>28.8</v>
      </c>
      <c r="Z5">
        <v>30.5</v>
      </c>
      <c r="AA5">
        <v>32.799999999999997</v>
      </c>
      <c r="AB5">
        <v>29</v>
      </c>
      <c r="AD5">
        <v>29.9</v>
      </c>
      <c r="AE5">
        <v>31.1</v>
      </c>
      <c r="AF5">
        <v>28.5</v>
      </c>
    </row>
    <row r="6" spans="1:33" x14ac:dyDescent="0.2">
      <c r="A6">
        <v>95.8</v>
      </c>
      <c r="B6">
        <v>89.6</v>
      </c>
      <c r="D6">
        <v>70.599999999999994</v>
      </c>
      <c r="E6">
        <v>64.2</v>
      </c>
      <c r="F6">
        <v>72.2</v>
      </c>
      <c r="G6">
        <v>65.5</v>
      </c>
      <c r="H6">
        <v>58.8</v>
      </c>
      <c r="I6">
        <v>72.400000000000006</v>
      </c>
      <c r="K6">
        <v>39.4</v>
      </c>
      <c r="L6">
        <v>42.3</v>
      </c>
      <c r="M6">
        <v>43.4</v>
      </c>
      <c r="O6">
        <v>43.6</v>
      </c>
      <c r="P6">
        <v>41.1</v>
      </c>
      <c r="Q6">
        <v>53.6</v>
      </c>
      <c r="R6">
        <v>35.4</v>
      </c>
      <c r="S6">
        <v>43.3</v>
      </c>
      <c r="T6">
        <v>37.799999999999997</v>
      </c>
      <c r="U6">
        <v>40.1</v>
      </c>
      <c r="W6">
        <v>33.6</v>
      </c>
      <c r="X6">
        <v>31.4</v>
      </c>
      <c r="Y6">
        <v>28.1</v>
      </c>
      <c r="Z6">
        <v>35.1</v>
      </c>
      <c r="AA6">
        <v>28.8</v>
      </c>
      <c r="AB6">
        <v>39.4</v>
      </c>
      <c r="AD6">
        <v>27.4</v>
      </c>
      <c r="AE6">
        <v>31</v>
      </c>
      <c r="AF6">
        <v>32.799999999999997</v>
      </c>
    </row>
    <row r="7" spans="1:33" x14ac:dyDescent="0.2">
      <c r="A7">
        <v>98.8</v>
      </c>
      <c r="B7">
        <v>65.3</v>
      </c>
      <c r="D7">
        <v>70.599999999999994</v>
      </c>
      <c r="E7">
        <v>58.3</v>
      </c>
      <c r="F7">
        <v>67.400000000000006</v>
      </c>
      <c r="G7">
        <v>63.2</v>
      </c>
      <c r="H7">
        <v>62.7</v>
      </c>
      <c r="I7">
        <v>65.400000000000006</v>
      </c>
      <c r="K7">
        <v>39.4</v>
      </c>
      <c r="L7">
        <v>42.2</v>
      </c>
      <c r="M7">
        <v>35.200000000000003</v>
      </c>
      <c r="O7">
        <v>39.4</v>
      </c>
      <c r="P7">
        <v>40</v>
      </c>
      <c r="R7">
        <v>42.4</v>
      </c>
      <c r="S7">
        <v>40.299999999999997</v>
      </c>
      <c r="T7">
        <v>38.1</v>
      </c>
      <c r="U7">
        <v>40.799999999999997</v>
      </c>
      <c r="W7">
        <v>43.6</v>
      </c>
      <c r="X7">
        <v>37.4</v>
      </c>
      <c r="Y7">
        <v>28.8</v>
      </c>
      <c r="Z7">
        <v>34.1</v>
      </c>
      <c r="AA7">
        <v>29.4</v>
      </c>
      <c r="AB7">
        <v>28.1</v>
      </c>
      <c r="AD7">
        <v>25.6</v>
      </c>
      <c r="AE7">
        <v>28.9</v>
      </c>
      <c r="AF7">
        <v>28.8</v>
      </c>
    </row>
    <row r="8" spans="1:33" x14ac:dyDescent="0.2">
      <c r="A8">
        <v>94.9</v>
      </c>
      <c r="B8">
        <v>69.400000000000006</v>
      </c>
      <c r="D8">
        <v>69.400000000000006</v>
      </c>
      <c r="E8">
        <v>60.6</v>
      </c>
      <c r="F8">
        <v>66.599999999999994</v>
      </c>
      <c r="G8">
        <v>56.4</v>
      </c>
      <c r="H8">
        <v>65.599999999999994</v>
      </c>
      <c r="I8">
        <v>71.2</v>
      </c>
      <c r="K8">
        <v>39.4</v>
      </c>
      <c r="L8">
        <v>42.4</v>
      </c>
      <c r="M8">
        <v>46.8</v>
      </c>
      <c r="O8">
        <v>41.2</v>
      </c>
      <c r="P8">
        <v>36.5</v>
      </c>
      <c r="Q8">
        <v>54.6</v>
      </c>
      <c r="R8">
        <v>32.799999999999997</v>
      </c>
      <c r="S8">
        <v>46.8</v>
      </c>
      <c r="T8">
        <v>39.9</v>
      </c>
      <c r="U8">
        <v>40.799999999999997</v>
      </c>
      <c r="W8">
        <v>38.799999999999997</v>
      </c>
      <c r="X8">
        <v>35.299999999999997</v>
      </c>
      <c r="Y8">
        <v>29</v>
      </c>
      <c r="Z8">
        <v>34</v>
      </c>
      <c r="AA8">
        <v>30.1</v>
      </c>
      <c r="AB8">
        <v>37.200000000000003</v>
      </c>
      <c r="AD8">
        <v>29.9</v>
      </c>
      <c r="AE8">
        <v>29.3</v>
      </c>
      <c r="AF8">
        <v>29.6</v>
      </c>
    </row>
    <row r="9" spans="1:33" x14ac:dyDescent="0.2">
      <c r="A9">
        <v>97.2</v>
      </c>
      <c r="B9">
        <v>68.3</v>
      </c>
      <c r="D9">
        <v>68.8</v>
      </c>
      <c r="E9">
        <v>58.6</v>
      </c>
      <c r="F9">
        <v>61.8</v>
      </c>
      <c r="G9">
        <v>65.599999999999994</v>
      </c>
      <c r="H9">
        <v>65.599999999999994</v>
      </c>
      <c r="I9">
        <v>58.7</v>
      </c>
      <c r="K9">
        <v>38.799999999999997</v>
      </c>
      <c r="L9">
        <v>49</v>
      </c>
      <c r="M9">
        <v>49.4</v>
      </c>
      <c r="O9">
        <v>37.5</v>
      </c>
      <c r="P9">
        <v>42.1</v>
      </c>
      <c r="Q9">
        <v>44.8</v>
      </c>
      <c r="R9">
        <v>37</v>
      </c>
      <c r="S9">
        <v>36.299999999999997</v>
      </c>
      <c r="T9">
        <v>35.200000000000003</v>
      </c>
      <c r="U9">
        <v>32.9</v>
      </c>
      <c r="W9">
        <v>44.2</v>
      </c>
      <c r="X9">
        <v>36.9</v>
      </c>
      <c r="Y9">
        <v>30.1</v>
      </c>
      <c r="Z9">
        <v>33</v>
      </c>
      <c r="AA9">
        <v>31.2</v>
      </c>
      <c r="AB9">
        <v>30.4</v>
      </c>
      <c r="AD9">
        <v>32.4</v>
      </c>
      <c r="AE9">
        <v>28.6</v>
      </c>
      <c r="AF9">
        <v>31.4</v>
      </c>
    </row>
    <row r="10" spans="1:33" x14ac:dyDescent="0.2">
      <c r="A10">
        <v>97.5</v>
      </c>
      <c r="B10">
        <v>71</v>
      </c>
      <c r="D10">
        <v>79.8</v>
      </c>
      <c r="E10">
        <v>69.599999999999994</v>
      </c>
      <c r="F10">
        <v>69.2</v>
      </c>
      <c r="G10">
        <v>59.6</v>
      </c>
      <c r="H10">
        <v>62.6</v>
      </c>
      <c r="I10">
        <v>74.599999999999994</v>
      </c>
      <c r="K10">
        <v>36.799999999999997</v>
      </c>
      <c r="L10">
        <v>41.2</v>
      </c>
      <c r="M10">
        <v>39.9</v>
      </c>
      <c r="O10">
        <v>44.2</v>
      </c>
      <c r="P10">
        <v>37.5</v>
      </c>
      <c r="Q10">
        <v>51.9</v>
      </c>
      <c r="R10">
        <v>34.6</v>
      </c>
      <c r="S10">
        <v>42</v>
      </c>
      <c r="T10">
        <v>32.1</v>
      </c>
      <c r="U10">
        <v>33.9</v>
      </c>
      <c r="W10">
        <v>33.6</v>
      </c>
      <c r="X10">
        <v>33.9</v>
      </c>
      <c r="Y10">
        <v>29</v>
      </c>
      <c r="Z10">
        <v>40.9</v>
      </c>
      <c r="AA10">
        <v>32.1</v>
      </c>
      <c r="AB10">
        <v>35.299999999999997</v>
      </c>
      <c r="AD10">
        <v>29.2</v>
      </c>
      <c r="AE10">
        <v>28.8</v>
      </c>
      <c r="AF10">
        <v>27.2</v>
      </c>
    </row>
    <row r="11" spans="1:33" x14ac:dyDescent="0.2">
      <c r="A11">
        <v>98.5</v>
      </c>
      <c r="B11">
        <v>85.5</v>
      </c>
      <c r="D11">
        <v>79.400000000000006</v>
      </c>
      <c r="E11">
        <v>68.400000000000006</v>
      </c>
      <c r="F11">
        <v>70</v>
      </c>
      <c r="G11">
        <v>62.6</v>
      </c>
      <c r="H11">
        <v>63.2</v>
      </c>
      <c r="I11">
        <v>65.599999999999994</v>
      </c>
      <c r="K11">
        <v>37.4</v>
      </c>
      <c r="L11">
        <v>43.2</v>
      </c>
      <c r="M11">
        <v>40.9</v>
      </c>
      <c r="O11">
        <v>52.9</v>
      </c>
      <c r="P11">
        <v>43.1</v>
      </c>
      <c r="R11">
        <v>36.200000000000003</v>
      </c>
      <c r="S11">
        <v>32</v>
      </c>
      <c r="T11">
        <v>35.4</v>
      </c>
      <c r="U11">
        <v>33.700000000000003</v>
      </c>
      <c r="W11">
        <v>35.6</v>
      </c>
      <c r="X11">
        <v>31.8</v>
      </c>
      <c r="Y11">
        <v>31.4</v>
      </c>
      <c r="Z11">
        <v>32.799999999999997</v>
      </c>
      <c r="AA11">
        <v>31.4</v>
      </c>
      <c r="AB11">
        <v>36.200000000000003</v>
      </c>
      <c r="AD11">
        <v>29.2</v>
      </c>
      <c r="AE11">
        <v>33.9</v>
      </c>
      <c r="AF11">
        <v>28</v>
      </c>
    </row>
    <row r="12" spans="1:33" x14ac:dyDescent="0.2">
      <c r="A12">
        <v>94.9</v>
      </c>
      <c r="B12">
        <v>88.6</v>
      </c>
      <c r="D12">
        <v>74.400000000000006</v>
      </c>
      <c r="E12">
        <v>62</v>
      </c>
      <c r="F12">
        <v>66.25</v>
      </c>
      <c r="G12">
        <v>62.2</v>
      </c>
      <c r="H12">
        <v>68</v>
      </c>
      <c r="I12">
        <v>65.099999999999994</v>
      </c>
      <c r="K12">
        <v>39.4</v>
      </c>
      <c r="L12">
        <v>41.2</v>
      </c>
      <c r="M12">
        <v>34.4</v>
      </c>
      <c r="O12">
        <v>36.9</v>
      </c>
      <c r="P12">
        <v>37.299999999999997</v>
      </c>
      <c r="Q12">
        <v>52.9</v>
      </c>
      <c r="R12">
        <v>42</v>
      </c>
      <c r="S12">
        <v>38.799999999999997</v>
      </c>
      <c r="T12">
        <v>42.4</v>
      </c>
      <c r="U12">
        <v>38.700000000000003</v>
      </c>
      <c r="W12">
        <v>37.5</v>
      </c>
      <c r="X12">
        <v>35.9</v>
      </c>
      <c r="Y12">
        <v>24.3</v>
      </c>
      <c r="Z12">
        <v>36.799999999999997</v>
      </c>
      <c r="AA12">
        <v>36.200000000000003</v>
      </c>
      <c r="AB12">
        <v>36.200000000000003</v>
      </c>
      <c r="AD12">
        <v>30.5</v>
      </c>
      <c r="AE12">
        <v>29.4</v>
      </c>
      <c r="AF12">
        <v>30.6</v>
      </c>
    </row>
    <row r="13" spans="1:33" x14ac:dyDescent="0.2">
      <c r="A13">
        <v>98.8</v>
      </c>
      <c r="B13">
        <v>77.400000000000006</v>
      </c>
      <c r="D13">
        <v>66.900000000000006</v>
      </c>
      <c r="E13">
        <v>66.900000000000006</v>
      </c>
      <c r="F13">
        <v>71.5</v>
      </c>
      <c r="G13">
        <v>57.6</v>
      </c>
      <c r="H13">
        <v>54.8</v>
      </c>
      <c r="I13">
        <v>66.599999999999994</v>
      </c>
      <c r="K13">
        <v>39.4</v>
      </c>
      <c r="M13">
        <v>41.7</v>
      </c>
      <c r="O13">
        <v>59.4</v>
      </c>
      <c r="P13">
        <v>35.200000000000003</v>
      </c>
      <c r="Q13">
        <v>54.6</v>
      </c>
      <c r="R13">
        <v>39.200000000000003</v>
      </c>
      <c r="S13">
        <v>41.5</v>
      </c>
      <c r="T13">
        <v>31.2</v>
      </c>
      <c r="U13">
        <v>41.9</v>
      </c>
      <c r="W13">
        <v>40</v>
      </c>
      <c r="X13">
        <v>32.9</v>
      </c>
      <c r="Y13">
        <v>30.7</v>
      </c>
      <c r="Z13">
        <v>35.299999999999997</v>
      </c>
      <c r="AA13">
        <v>36.6</v>
      </c>
      <c r="AB13">
        <v>39.9</v>
      </c>
      <c r="AD13">
        <v>29.9</v>
      </c>
      <c r="AE13">
        <v>31.75</v>
      </c>
      <c r="AF13">
        <v>28.6</v>
      </c>
    </row>
    <row r="14" spans="1:33" x14ac:dyDescent="0.2">
      <c r="A14">
        <v>97.2</v>
      </c>
      <c r="B14">
        <v>73</v>
      </c>
      <c r="D14">
        <v>67.5</v>
      </c>
      <c r="E14">
        <v>63.4</v>
      </c>
      <c r="F14">
        <v>80.3</v>
      </c>
      <c r="G14">
        <v>57</v>
      </c>
      <c r="H14">
        <v>59.9</v>
      </c>
      <c r="I14">
        <v>67.400000000000006</v>
      </c>
      <c r="K14">
        <v>40.6</v>
      </c>
      <c r="M14">
        <v>43.5</v>
      </c>
      <c r="O14">
        <v>36.200000000000003</v>
      </c>
      <c r="P14">
        <v>42.8</v>
      </c>
      <c r="Q14">
        <v>0</v>
      </c>
      <c r="R14">
        <v>42.5</v>
      </c>
      <c r="S14">
        <v>39.4</v>
      </c>
      <c r="T14">
        <v>40.799999999999997</v>
      </c>
      <c r="U14">
        <v>35.4</v>
      </c>
      <c r="W14">
        <v>34.9</v>
      </c>
      <c r="X14">
        <v>36.6</v>
      </c>
      <c r="Y14">
        <v>31.8</v>
      </c>
      <c r="Z14">
        <v>33.200000000000003</v>
      </c>
      <c r="AA14">
        <v>32.1</v>
      </c>
      <c r="AB14">
        <v>36.6</v>
      </c>
      <c r="AD14">
        <v>29.2</v>
      </c>
      <c r="AE14">
        <v>31.2</v>
      </c>
      <c r="AF14">
        <v>31.6</v>
      </c>
    </row>
    <row r="15" spans="1:33" x14ac:dyDescent="0.2">
      <c r="A15">
        <v>98.8</v>
      </c>
      <c r="B15">
        <v>58.6</v>
      </c>
      <c r="D15">
        <v>81</v>
      </c>
      <c r="E15">
        <v>64.900000000000006</v>
      </c>
      <c r="F15">
        <v>75.8</v>
      </c>
      <c r="G15">
        <v>59</v>
      </c>
      <c r="H15">
        <v>62.8</v>
      </c>
      <c r="I15">
        <v>57.4</v>
      </c>
      <c r="K15">
        <v>36.799999999999997</v>
      </c>
      <c r="M15">
        <v>43.1</v>
      </c>
      <c r="O15">
        <v>38.799999999999997</v>
      </c>
      <c r="P15">
        <v>39.299999999999997</v>
      </c>
      <c r="Q15">
        <v>33.9</v>
      </c>
      <c r="R15">
        <v>52.7</v>
      </c>
      <c r="S15">
        <v>51.25</v>
      </c>
      <c r="T15">
        <v>42.6</v>
      </c>
      <c r="U15">
        <v>35</v>
      </c>
      <c r="W15">
        <v>33</v>
      </c>
      <c r="X15">
        <v>32.4</v>
      </c>
      <c r="Y15">
        <v>28.2</v>
      </c>
      <c r="Z15">
        <v>36.6</v>
      </c>
      <c r="AA15">
        <v>39.4</v>
      </c>
      <c r="AB15">
        <v>29.8</v>
      </c>
      <c r="AD15">
        <v>29.2</v>
      </c>
      <c r="AE15">
        <v>28.5</v>
      </c>
      <c r="AF15">
        <v>30.3</v>
      </c>
    </row>
    <row r="16" spans="1:33" x14ac:dyDescent="0.2">
      <c r="A16">
        <v>97.2</v>
      </c>
      <c r="B16">
        <v>75.3</v>
      </c>
      <c r="D16">
        <v>66.2</v>
      </c>
      <c r="E16">
        <v>70</v>
      </c>
      <c r="F16">
        <v>67.599999999999994</v>
      </c>
      <c r="G16">
        <v>57.7</v>
      </c>
      <c r="H16">
        <v>68.3</v>
      </c>
      <c r="I16">
        <v>65.400000000000006</v>
      </c>
      <c r="K16">
        <v>39.4</v>
      </c>
      <c r="M16">
        <v>38.799999999999997</v>
      </c>
      <c r="O16">
        <v>38.799999999999997</v>
      </c>
      <c r="P16">
        <v>35.6</v>
      </c>
      <c r="R16">
        <v>49.4</v>
      </c>
      <c r="S16">
        <v>42</v>
      </c>
      <c r="T16">
        <v>36.6</v>
      </c>
      <c r="U16">
        <v>29.6</v>
      </c>
      <c r="W16">
        <v>34.200000000000003</v>
      </c>
      <c r="X16">
        <v>37.200000000000003</v>
      </c>
      <c r="Y16">
        <v>31.4</v>
      </c>
      <c r="Z16">
        <v>31.4</v>
      </c>
      <c r="AA16">
        <v>29.1</v>
      </c>
      <c r="AB16">
        <v>34.299999999999997</v>
      </c>
      <c r="AD16">
        <v>31.8</v>
      </c>
      <c r="AE16">
        <v>33.1</v>
      </c>
      <c r="AF16">
        <v>27.7</v>
      </c>
    </row>
    <row r="17" spans="1:32" x14ac:dyDescent="0.2">
      <c r="A17">
        <v>97.2</v>
      </c>
      <c r="B17">
        <v>68.900000000000006</v>
      </c>
      <c r="D17">
        <v>66.900000000000006</v>
      </c>
      <c r="E17">
        <v>67.5</v>
      </c>
      <c r="F17">
        <v>57.6</v>
      </c>
      <c r="G17">
        <v>54.2</v>
      </c>
      <c r="H17">
        <v>58.3</v>
      </c>
      <c r="I17">
        <v>74.5</v>
      </c>
      <c r="K17">
        <v>47.8</v>
      </c>
      <c r="M17">
        <v>40.9</v>
      </c>
      <c r="O17">
        <v>39.4</v>
      </c>
      <c r="P17">
        <v>33.799999999999997</v>
      </c>
      <c r="Q17">
        <v>37.299999999999997</v>
      </c>
      <c r="R17">
        <v>51.6</v>
      </c>
      <c r="S17">
        <v>35.5</v>
      </c>
      <c r="T17">
        <v>37</v>
      </c>
      <c r="U17">
        <v>32.6</v>
      </c>
      <c r="W17">
        <v>25.6</v>
      </c>
      <c r="X17">
        <v>36.5</v>
      </c>
      <c r="Y17">
        <v>30.3</v>
      </c>
      <c r="Z17">
        <v>34.700000000000003</v>
      </c>
      <c r="AA17">
        <v>35.4</v>
      </c>
      <c r="AB17">
        <v>25.9</v>
      </c>
      <c r="AD17">
        <v>28.8</v>
      </c>
      <c r="AE17">
        <v>29.2</v>
      </c>
      <c r="AF17">
        <v>27.8</v>
      </c>
    </row>
    <row r="18" spans="1:32" x14ac:dyDescent="0.2">
      <c r="A18">
        <v>91.2</v>
      </c>
      <c r="B18">
        <v>55.6</v>
      </c>
      <c r="D18">
        <v>71.2</v>
      </c>
      <c r="E18">
        <v>67.5</v>
      </c>
      <c r="F18">
        <v>67.099999999999994</v>
      </c>
      <c r="G18">
        <v>53.3</v>
      </c>
      <c r="H18">
        <v>42.8</v>
      </c>
      <c r="I18">
        <v>68</v>
      </c>
      <c r="K18">
        <v>60</v>
      </c>
      <c r="M18">
        <v>41.1</v>
      </c>
      <c r="O18">
        <v>51.2</v>
      </c>
      <c r="P18">
        <v>41.6</v>
      </c>
      <c r="Q18">
        <v>40.200000000000003</v>
      </c>
      <c r="R18">
        <v>42.1</v>
      </c>
      <c r="S18">
        <v>37.799999999999997</v>
      </c>
      <c r="T18">
        <v>43.9</v>
      </c>
      <c r="U18">
        <v>40.200000000000003</v>
      </c>
      <c r="W18">
        <v>51.2</v>
      </c>
      <c r="X18">
        <v>35.1</v>
      </c>
      <c r="Y18">
        <v>31.9</v>
      </c>
      <c r="Z18">
        <v>34.1</v>
      </c>
      <c r="AA18">
        <v>35.299999999999997</v>
      </c>
      <c r="AB18">
        <v>34.9</v>
      </c>
      <c r="AD18">
        <v>29.2</v>
      </c>
      <c r="AE18">
        <v>31.5</v>
      </c>
      <c r="AF18">
        <v>32.700000000000003</v>
      </c>
    </row>
    <row r="19" spans="1:32" x14ac:dyDescent="0.2">
      <c r="A19">
        <v>92.5</v>
      </c>
      <c r="B19">
        <v>75.2</v>
      </c>
      <c r="D19">
        <v>66.2</v>
      </c>
      <c r="E19">
        <v>66.2</v>
      </c>
      <c r="F19">
        <v>59.6</v>
      </c>
      <c r="G19">
        <v>56</v>
      </c>
      <c r="H19">
        <v>62.7</v>
      </c>
      <c r="I19">
        <v>61.7</v>
      </c>
      <c r="K19">
        <v>59.4</v>
      </c>
      <c r="M19">
        <v>38.4</v>
      </c>
      <c r="O19">
        <v>39.4</v>
      </c>
      <c r="P19">
        <v>41.8</v>
      </c>
      <c r="Q19">
        <v>40.200000000000003</v>
      </c>
      <c r="R19">
        <v>38.9</v>
      </c>
      <c r="S19">
        <v>37.9</v>
      </c>
      <c r="T19">
        <v>50.5</v>
      </c>
      <c r="U19">
        <v>37.200000000000003</v>
      </c>
      <c r="W19">
        <v>37.5</v>
      </c>
      <c r="X19">
        <v>35.200000000000003</v>
      </c>
      <c r="Y19">
        <v>30.6</v>
      </c>
      <c r="Z19">
        <v>30.5</v>
      </c>
      <c r="AA19">
        <v>34.799999999999997</v>
      </c>
      <c r="AB19">
        <v>31.2</v>
      </c>
      <c r="AD19">
        <v>29</v>
      </c>
      <c r="AE19">
        <v>30.5</v>
      </c>
      <c r="AF19">
        <v>29.9</v>
      </c>
    </row>
    <row r="20" spans="1:32" x14ac:dyDescent="0.2">
      <c r="A20">
        <v>97.2</v>
      </c>
      <c r="B20">
        <v>73.599999999999994</v>
      </c>
      <c r="D20">
        <v>65</v>
      </c>
      <c r="E20">
        <v>66.2</v>
      </c>
      <c r="F20">
        <v>59.8</v>
      </c>
      <c r="G20">
        <v>58.9</v>
      </c>
      <c r="H20">
        <v>47.9</v>
      </c>
      <c r="I20">
        <v>60.5</v>
      </c>
      <c r="K20">
        <v>45</v>
      </c>
      <c r="M20">
        <v>33.799999999999997</v>
      </c>
      <c r="O20">
        <v>41.8</v>
      </c>
      <c r="P20">
        <v>42.6</v>
      </c>
      <c r="Q20">
        <v>48.5</v>
      </c>
      <c r="R20">
        <v>38.6</v>
      </c>
      <c r="S20">
        <v>38.4</v>
      </c>
      <c r="T20">
        <v>37.200000000000003</v>
      </c>
      <c r="U20">
        <v>33.6</v>
      </c>
      <c r="W20">
        <v>35.6</v>
      </c>
      <c r="X20">
        <v>34.1</v>
      </c>
      <c r="Y20">
        <v>30.4</v>
      </c>
      <c r="Z20">
        <v>35</v>
      </c>
      <c r="AA20">
        <v>31.4</v>
      </c>
      <c r="AB20">
        <v>29.2</v>
      </c>
      <c r="AD20">
        <v>28</v>
      </c>
      <c r="AE20">
        <v>31.1</v>
      </c>
      <c r="AF20">
        <v>29.4</v>
      </c>
    </row>
    <row r="21" spans="1:32" x14ac:dyDescent="0.2">
      <c r="A21">
        <v>93.8</v>
      </c>
      <c r="B21">
        <v>73</v>
      </c>
      <c r="D21">
        <v>76.900000000000006</v>
      </c>
      <c r="E21">
        <v>67.2</v>
      </c>
      <c r="F21">
        <v>67.400000000000006</v>
      </c>
      <c r="G21">
        <v>60.4</v>
      </c>
      <c r="H21">
        <v>70.2</v>
      </c>
      <c r="I21">
        <v>69.7</v>
      </c>
      <c r="K21">
        <v>45</v>
      </c>
      <c r="M21">
        <v>38.5</v>
      </c>
      <c r="O21">
        <v>44.2</v>
      </c>
      <c r="P21">
        <v>36.9</v>
      </c>
      <c r="Q21">
        <v>50.7</v>
      </c>
      <c r="R21">
        <v>56.1</v>
      </c>
      <c r="S21">
        <v>36</v>
      </c>
      <c r="T21">
        <v>42</v>
      </c>
      <c r="U21">
        <v>38.1</v>
      </c>
      <c r="W21">
        <v>35.6</v>
      </c>
      <c r="X21">
        <v>31.8</v>
      </c>
      <c r="Y21">
        <v>29.4</v>
      </c>
      <c r="Z21">
        <v>35.1</v>
      </c>
      <c r="AA21">
        <v>31.6</v>
      </c>
      <c r="AB21">
        <v>31.4</v>
      </c>
      <c r="AD21">
        <v>29.9</v>
      </c>
      <c r="AE21">
        <v>31.3</v>
      </c>
      <c r="AF21">
        <v>29.6</v>
      </c>
    </row>
    <row r="23" spans="1:32" x14ac:dyDescent="0.2">
      <c r="A23">
        <f>AVERAGE(A2:A21)</f>
        <v>96.11</v>
      </c>
      <c r="B23">
        <f>AVERAGE(B2:B21)</f>
        <v>74.284210526315789</v>
      </c>
      <c r="D23">
        <f>AVERAGE(D2:D21)</f>
        <v>71.094999999999999</v>
      </c>
      <c r="E23">
        <f>AVERAGE(E2:E21)</f>
        <v>64.19</v>
      </c>
      <c r="F23">
        <f>AVERAGE(F2:F21)</f>
        <v>67.682499999999976</v>
      </c>
      <c r="G23">
        <f t="shared" ref="G23:I23" si="0">AVERAGE(G2:G21)</f>
        <v>59.730000000000018</v>
      </c>
      <c r="H23">
        <f t="shared" si="0"/>
        <v>61.38000000000001</v>
      </c>
      <c r="I23">
        <f t="shared" si="0"/>
        <v>66.320000000000007</v>
      </c>
      <c r="K23">
        <f>AVERAGE(K2:K21)</f>
        <v>43.274999999999991</v>
      </c>
      <c r="L23">
        <f>AVERAGE(L2:L21)</f>
        <v>43.33</v>
      </c>
      <c r="M23">
        <f t="shared" ref="M23" si="1">AVERAGE(M2:M21)</f>
        <v>40.279999999999994</v>
      </c>
      <c r="O23">
        <f>AVERAGE(O2:O21)</f>
        <v>42.774999999999991</v>
      </c>
      <c r="P23">
        <f t="shared" ref="P23:R23" si="2">AVERAGE(P2:P21)</f>
        <v>39.19</v>
      </c>
      <c r="Q23">
        <f t="shared" si="2"/>
        <v>43.641176470588242</v>
      </c>
      <c r="R23">
        <f t="shared" si="2"/>
        <v>41.535000000000004</v>
      </c>
      <c r="S23">
        <f>AVERAGE(S2:S21)</f>
        <v>39.792499999999997</v>
      </c>
      <c r="T23">
        <f>AVERAGE(T2:T21)</f>
        <v>39.204999999999998</v>
      </c>
      <c r="U23">
        <f t="shared" ref="U23" si="3">AVERAGE(U2:U21)</f>
        <v>37.085000000000001</v>
      </c>
      <c r="W23">
        <f t="shared" ref="W23:AB23" si="4">AVERAGE(W2:W21)</f>
        <v>36.590000000000003</v>
      </c>
      <c r="X23">
        <f t="shared" si="4"/>
        <v>35.36</v>
      </c>
      <c r="Y23">
        <f t="shared" si="4"/>
        <v>29.704999999999995</v>
      </c>
      <c r="Z23">
        <f t="shared" si="4"/>
        <v>34.355000000000004</v>
      </c>
      <c r="AA23">
        <f t="shared" si="4"/>
        <v>32.734999999999999</v>
      </c>
      <c r="AB23">
        <f t="shared" si="4"/>
        <v>33.174999999999997</v>
      </c>
      <c r="AD23">
        <f>AVERAGE(AD2:AD21)</f>
        <v>29.584999999999997</v>
      </c>
      <c r="AE23">
        <f>AVERAGE(AE2:AE21)</f>
        <v>30.6175</v>
      </c>
      <c r="AF23">
        <f>AVERAGE(AF2:AF21)</f>
        <v>29.705000000000005</v>
      </c>
    </row>
    <row r="25" spans="1:32" x14ac:dyDescent="0.2">
      <c r="A25">
        <f>_xlfn.QUARTILE.INC(A2:A21,1)</f>
        <v>94.9</v>
      </c>
      <c r="B25">
        <f>_xlfn.QUARTILE.INC(B2:B21,1)</f>
        <v>68.849999999999994</v>
      </c>
      <c r="D25">
        <f>_xlfn.QUARTILE.INC(D2:D21,1)</f>
        <v>66.725000000000009</v>
      </c>
      <c r="E25">
        <f>_xlfn.QUARTILE.INC(E2:E21,1)</f>
        <v>61.65</v>
      </c>
      <c r="F25">
        <f>_xlfn.QUARTILE.INC(F2:F21,1)</f>
        <v>65.137500000000003</v>
      </c>
      <c r="G25">
        <f t="shared" ref="G25:I25" si="5">_xlfn.QUARTILE.INC(G2:G21,1)</f>
        <v>56.85</v>
      </c>
      <c r="H25">
        <f t="shared" si="5"/>
        <v>58.674999999999997</v>
      </c>
      <c r="I25">
        <f t="shared" si="5"/>
        <v>64.25</v>
      </c>
      <c r="K25">
        <f>_xlfn.QUARTILE.INC(K2:K21,1)</f>
        <v>39.4</v>
      </c>
      <c r="L25">
        <f>_xlfn.QUARTILE.INC(L2:L21,1)</f>
        <v>41.45</v>
      </c>
      <c r="M25">
        <f t="shared" ref="M25" si="6">_xlfn.QUARTILE.INC(M2:M21,1)</f>
        <v>38.325000000000003</v>
      </c>
      <c r="O25">
        <f>_xlfn.QUARTILE.INC(O2:O21,1)</f>
        <v>38.799999999999997</v>
      </c>
      <c r="P25">
        <f t="shared" ref="P25:R25" si="7">_xlfn.QUARTILE.INC(P2:P21,1)</f>
        <v>36.799999999999997</v>
      </c>
      <c r="Q25">
        <f t="shared" si="7"/>
        <v>40.200000000000003</v>
      </c>
      <c r="R25">
        <f t="shared" si="7"/>
        <v>38.200000000000003</v>
      </c>
      <c r="S25">
        <f>_xlfn.QUARTILE.INC(S2:S21,1)</f>
        <v>37.200000000000003</v>
      </c>
      <c r="T25">
        <f>_xlfn.QUARTILE.INC(T2:T21,1)</f>
        <v>36.35</v>
      </c>
      <c r="U25">
        <f t="shared" ref="U25" si="8">_xlfn.QUARTILE.INC(U2:U21,1)</f>
        <v>33.675000000000004</v>
      </c>
      <c r="W25">
        <f t="shared" ref="W25:AB25" si="9">_xlfn.QUARTILE.INC(W2:W21,1)</f>
        <v>33.6</v>
      </c>
      <c r="X25">
        <f t="shared" si="9"/>
        <v>33.049999999999997</v>
      </c>
      <c r="Y25">
        <f t="shared" si="9"/>
        <v>28.8</v>
      </c>
      <c r="Z25">
        <f t="shared" si="9"/>
        <v>32.950000000000003</v>
      </c>
      <c r="AA25">
        <f t="shared" si="9"/>
        <v>30.975000000000001</v>
      </c>
      <c r="AB25">
        <f t="shared" si="9"/>
        <v>29.65</v>
      </c>
      <c r="AD25">
        <f>_xlfn.QUARTILE.INC(AD2:AD21,1)</f>
        <v>29.15</v>
      </c>
      <c r="AE25">
        <f>_xlfn.QUARTILE.INC(AE2:AE21,1)</f>
        <v>29.125</v>
      </c>
      <c r="AF25">
        <f>_xlfn.QUARTILE.INC(AF2:AF21,1)</f>
        <v>28.375</v>
      </c>
    </row>
    <row r="26" spans="1:32" x14ac:dyDescent="0.2">
      <c r="A26">
        <f>_xlfn.QUARTILE.INC(A2:A21,2)</f>
        <v>97.2</v>
      </c>
      <c r="B26">
        <f>_xlfn.QUARTILE.INC(B2:B21,2)</f>
        <v>73</v>
      </c>
      <c r="D26">
        <f>_xlfn.QUARTILE.INC(D2:D21,2)</f>
        <v>69.599999999999994</v>
      </c>
      <c r="E26">
        <f>_xlfn.QUARTILE.INC(E2:E21,2)</f>
        <v>65</v>
      </c>
      <c r="F26">
        <f>_xlfn.QUARTILE.INC(F2:F21,2)</f>
        <v>67.5</v>
      </c>
      <c r="G26">
        <f t="shared" ref="G26:I26" si="10">_xlfn.QUARTILE.INC(G2:G21,2)</f>
        <v>59.3</v>
      </c>
      <c r="H26">
        <f t="shared" si="10"/>
        <v>62.75</v>
      </c>
      <c r="I26">
        <f t="shared" si="10"/>
        <v>66.400000000000006</v>
      </c>
      <c r="K26">
        <f>_xlfn.QUARTILE.INC(K2:K21,2)</f>
        <v>40</v>
      </c>
      <c r="L26">
        <f>_xlfn.QUARTILE.INC(L2:L21,2)</f>
        <v>42.25</v>
      </c>
      <c r="M26">
        <f t="shared" ref="M26" si="11">_xlfn.QUARTILE.INC(M2:M21,2)</f>
        <v>40.4</v>
      </c>
      <c r="O26">
        <f>_xlfn.QUARTILE.INC(O2:O21,2)</f>
        <v>41.5</v>
      </c>
      <c r="P26">
        <f t="shared" ref="P26:R26" si="12">_xlfn.QUARTILE.INC(P2:P21,2)</f>
        <v>39.85</v>
      </c>
      <c r="Q26">
        <f t="shared" si="12"/>
        <v>46.9</v>
      </c>
      <c r="R26">
        <f t="shared" si="12"/>
        <v>39.9</v>
      </c>
      <c r="S26">
        <f>_xlfn.QUARTILE.INC(S2:S21,2)</f>
        <v>39.099999999999994</v>
      </c>
      <c r="T26">
        <f>_xlfn.QUARTILE.INC(T2:T21,2)</f>
        <v>37.950000000000003</v>
      </c>
      <c r="U26">
        <f t="shared" ref="U26" si="13">_xlfn.QUARTILE.INC(U2:U21,2)</f>
        <v>36.299999999999997</v>
      </c>
      <c r="W26">
        <f t="shared" ref="W26:AB26" si="14">_xlfn.QUARTILE.INC(W2:W21,2)</f>
        <v>35.6</v>
      </c>
      <c r="X26">
        <f t="shared" si="14"/>
        <v>35.150000000000006</v>
      </c>
      <c r="Y26">
        <f t="shared" si="14"/>
        <v>29.85</v>
      </c>
      <c r="Z26">
        <f t="shared" si="14"/>
        <v>34.400000000000006</v>
      </c>
      <c r="AA26">
        <f t="shared" si="14"/>
        <v>32.1</v>
      </c>
      <c r="AB26">
        <f t="shared" si="14"/>
        <v>33.849999999999994</v>
      </c>
      <c r="AD26">
        <f>_xlfn.QUARTILE.INC(AD2:AD21,2)</f>
        <v>29.2</v>
      </c>
      <c r="AE26">
        <f>_xlfn.QUARTILE.INC(AE2:AE21,2)</f>
        <v>31.05</v>
      </c>
      <c r="AF26">
        <f>_xlfn.QUARTILE.INC(AF2:AF21,2)</f>
        <v>29.6</v>
      </c>
    </row>
    <row r="27" spans="1:32" x14ac:dyDescent="0.2">
      <c r="A27">
        <f>_xlfn.QUARTILE.INC(A2:A21,3)</f>
        <v>97.75</v>
      </c>
      <c r="B27">
        <f>_xlfn.QUARTILE.INC(B2:B21,3)</f>
        <v>79.599999999999994</v>
      </c>
      <c r="D27">
        <f>_xlfn.QUARTILE.INC(D2:D21,3)</f>
        <v>75.025000000000006</v>
      </c>
      <c r="E27">
        <f>_xlfn.QUARTILE.INC(E2:E21,3)</f>
        <v>67.275000000000006</v>
      </c>
      <c r="F27">
        <f>_xlfn.QUARTILE.INC(F2:F21,3)</f>
        <v>70.75</v>
      </c>
      <c r="G27">
        <f t="shared" ref="G27:I27" si="15">_xlfn.QUARTILE.INC(G2:G21,3)</f>
        <v>62.9</v>
      </c>
      <c r="H27">
        <f t="shared" si="15"/>
        <v>65.599999999999994</v>
      </c>
      <c r="I27">
        <f t="shared" si="15"/>
        <v>68.650000000000006</v>
      </c>
      <c r="K27">
        <f>_xlfn.QUARTILE.INC(K2:K21,3)</f>
        <v>45.45</v>
      </c>
      <c r="L27">
        <f>_xlfn.QUARTILE.INC(L2:L21,3)</f>
        <v>43</v>
      </c>
      <c r="M27">
        <f t="shared" ref="M27" si="16">_xlfn.QUARTILE.INC(M2:M21,3)</f>
        <v>42.050000000000004</v>
      </c>
      <c r="O27">
        <f>_xlfn.QUARTILE.INC(O2:O21,3)</f>
        <v>44.2</v>
      </c>
      <c r="P27">
        <f t="shared" ref="P27:R27" si="17">_xlfn.QUARTILE.INC(P2:P21,3)</f>
        <v>41.65</v>
      </c>
      <c r="Q27">
        <f t="shared" si="17"/>
        <v>51.9</v>
      </c>
      <c r="R27">
        <f t="shared" si="17"/>
        <v>42.424999999999997</v>
      </c>
      <c r="S27">
        <f>_xlfn.QUARTILE.INC(S2:S21,3)</f>
        <v>42</v>
      </c>
      <c r="T27">
        <f>_xlfn.QUARTILE.INC(T2:T21,3)</f>
        <v>42.174999999999997</v>
      </c>
      <c r="U27">
        <f t="shared" ref="U27" si="18">_xlfn.QUARTILE.INC(U2:U21,3)</f>
        <v>40.125</v>
      </c>
      <c r="W27">
        <f t="shared" ref="W27:AB27" si="19">_xlfn.QUARTILE.INC(W2:W21,3)</f>
        <v>37.825000000000003</v>
      </c>
      <c r="X27">
        <f t="shared" si="19"/>
        <v>36.674999999999997</v>
      </c>
      <c r="Y27">
        <f t="shared" si="19"/>
        <v>30.875</v>
      </c>
      <c r="Z27">
        <f t="shared" si="19"/>
        <v>35.524999999999999</v>
      </c>
      <c r="AA27">
        <f t="shared" si="19"/>
        <v>34.924999999999997</v>
      </c>
      <c r="AB27">
        <f t="shared" si="19"/>
        <v>36.225000000000001</v>
      </c>
      <c r="AD27">
        <f>_xlfn.QUARTILE.INC(AD2:AD21,3)</f>
        <v>29.9</v>
      </c>
      <c r="AE27">
        <f>_xlfn.QUARTILE.INC(AE2:AE21,3)</f>
        <v>31.524999999999999</v>
      </c>
      <c r="AF27">
        <f>_xlfn.QUARTILE.INC(AF2:AF21,3)</f>
        <v>30.95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7ED9-4488-433D-9FD8-7CE29AAF7507}">
  <dimension ref="A1:AH27"/>
  <sheetViews>
    <sheetView zoomScale="160" zoomScaleNormal="160" workbookViewId="0">
      <selection activeCell="G37" sqref="G37"/>
    </sheetView>
  </sheetViews>
  <sheetFormatPr baseColWidth="10" defaultColWidth="10.6640625" defaultRowHeight="16" x14ac:dyDescent="0.2"/>
  <cols>
    <col min="4" max="4" width="2.33203125" style="2" customWidth="1"/>
    <col min="11" max="11" width="2.33203125" style="2" customWidth="1"/>
    <col min="15" max="15" width="2.33203125" style="2" customWidth="1"/>
    <col min="23" max="23" width="2.33203125" style="2" customWidth="1"/>
    <col min="30" max="30" width="2.33203125" style="2" customWidth="1"/>
  </cols>
  <sheetData>
    <row r="1" spans="2:34" x14ac:dyDescent="0.2">
      <c r="B1" t="s">
        <v>0</v>
      </c>
      <c r="C1" t="s">
        <v>6</v>
      </c>
      <c r="E1" t="s">
        <v>17</v>
      </c>
      <c r="F1" t="s">
        <v>16</v>
      </c>
      <c r="G1" t="s">
        <v>15</v>
      </c>
      <c r="H1" t="s">
        <v>14</v>
      </c>
      <c r="I1" t="s">
        <v>13</v>
      </c>
      <c r="J1" t="s">
        <v>12</v>
      </c>
      <c r="L1" t="s">
        <v>11</v>
      </c>
      <c r="M1" t="s">
        <v>28</v>
      </c>
      <c r="N1" t="s">
        <v>10</v>
      </c>
      <c r="P1" t="s">
        <v>1</v>
      </c>
      <c r="Q1" t="s">
        <v>29</v>
      </c>
      <c r="R1" t="s">
        <v>32</v>
      </c>
      <c r="S1" t="s">
        <v>30</v>
      </c>
      <c r="T1" t="s">
        <v>9</v>
      </c>
      <c r="U1" t="s">
        <v>4</v>
      </c>
      <c r="V1" t="s">
        <v>5</v>
      </c>
      <c r="X1" t="s">
        <v>18</v>
      </c>
      <c r="Y1" t="s">
        <v>8</v>
      </c>
      <c r="Z1" t="s">
        <v>21</v>
      </c>
      <c r="AA1" t="s">
        <v>20</v>
      </c>
      <c r="AB1" t="s">
        <v>7</v>
      </c>
      <c r="AC1" t="s">
        <v>19</v>
      </c>
      <c r="AE1" t="s">
        <v>2</v>
      </c>
      <c r="AF1" t="s">
        <v>3</v>
      </c>
      <c r="AG1" t="s">
        <v>22</v>
      </c>
      <c r="AH1" t="s">
        <v>31</v>
      </c>
    </row>
    <row r="2" spans="2:34" hidden="1" x14ac:dyDescent="0.2">
      <c r="C2">
        <v>49</v>
      </c>
      <c r="E2">
        <v>53.3</v>
      </c>
      <c r="F2">
        <v>41.5</v>
      </c>
      <c r="G2">
        <v>57.5</v>
      </c>
      <c r="H2">
        <v>44.9</v>
      </c>
      <c r="I2">
        <v>36.6</v>
      </c>
      <c r="J2">
        <v>38.799999999999997</v>
      </c>
      <c r="L2">
        <v>37.5</v>
      </c>
      <c r="N2">
        <v>37.200000000000003</v>
      </c>
      <c r="P2">
        <v>36.9</v>
      </c>
      <c r="Q2">
        <v>35</v>
      </c>
      <c r="R2">
        <v>42.4</v>
      </c>
      <c r="S2">
        <v>37.700000000000003</v>
      </c>
      <c r="T2">
        <v>25.6</v>
      </c>
      <c r="U2">
        <v>44</v>
      </c>
      <c r="V2">
        <v>36.200000000000003</v>
      </c>
      <c r="X2">
        <v>33.299999999999997</v>
      </c>
      <c r="Y2">
        <v>41</v>
      </c>
      <c r="Z2">
        <v>26.3</v>
      </c>
      <c r="AA2">
        <v>32.6</v>
      </c>
      <c r="AB2">
        <v>35.6</v>
      </c>
      <c r="AE2">
        <v>28.6</v>
      </c>
      <c r="AF2">
        <v>30.6</v>
      </c>
      <c r="AG2">
        <v>28.9</v>
      </c>
    </row>
    <row r="3" spans="2:34" hidden="1" x14ac:dyDescent="0.2">
      <c r="B3">
        <v>59.6</v>
      </c>
      <c r="C3">
        <v>50.8</v>
      </c>
      <c r="E3">
        <v>51.4</v>
      </c>
      <c r="F3">
        <v>35.6</v>
      </c>
      <c r="G3">
        <v>55.9</v>
      </c>
      <c r="H3">
        <v>56.1</v>
      </c>
      <c r="I3">
        <v>40.9</v>
      </c>
      <c r="J3">
        <v>57.8</v>
      </c>
      <c r="L3">
        <v>53.4</v>
      </c>
      <c r="N3">
        <v>52</v>
      </c>
      <c r="P3">
        <v>37.799999999999997</v>
      </c>
      <c r="Q3">
        <v>35</v>
      </c>
      <c r="R3">
        <v>40.5</v>
      </c>
      <c r="S3">
        <v>37.799999999999997</v>
      </c>
      <c r="T3">
        <v>37.200000000000003</v>
      </c>
      <c r="U3">
        <v>35.6</v>
      </c>
      <c r="V3">
        <v>32.1</v>
      </c>
      <c r="X3">
        <v>36.6</v>
      </c>
      <c r="Y3">
        <v>35.9</v>
      </c>
      <c r="Z3">
        <v>24.8</v>
      </c>
      <c r="AA3">
        <v>35</v>
      </c>
      <c r="AB3">
        <v>27.2</v>
      </c>
      <c r="AE3">
        <v>30.4</v>
      </c>
      <c r="AF3">
        <v>33.4</v>
      </c>
      <c r="AG3">
        <v>25.2</v>
      </c>
      <c r="AH3">
        <v>29.3</v>
      </c>
    </row>
    <row r="4" spans="2:34" hidden="1" x14ac:dyDescent="0.2">
      <c r="B4">
        <v>84.5</v>
      </c>
      <c r="C4">
        <v>50</v>
      </c>
      <c r="E4">
        <v>40.4</v>
      </c>
      <c r="F4">
        <v>38.4</v>
      </c>
      <c r="G4">
        <v>60.6</v>
      </c>
      <c r="H4">
        <v>59.3</v>
      </c>
      <c r="I4">
        <v>44.1</v>
      </c>
      <c r="J4">
        <v>58</v>
      </c>
      <c r="L4">
        <v>47.6</v>
      </c>
      <c r="N4">
        <v>50.5</v>
      </c>
      <c r="P4">
        <v>38.1</v>
      </c>
      <c r="Q4">
        <v>35.9</v>
      </c>
      <c r="R4">
        <v>42</v>
      </c>
      <c r="S4">
        <v>36.200000000000003</v>
      </c>
      <c r="T4">
        <v>44.1</v>
      </c>
      <c r="U4">
        <v>33.1</v>
      </c>
      <c r="V4">
        <v>38.700000000000003</v>
      </c>
      <c r="X4">
        <v>34.6</v>
      </c>
      <c r="Y4">
        <v>49.4</v>
      </c>
      <c r="Z4">
        <v>30.3</v>
      </c>
      <c r="AA4">
        <v>36.200000000000003</v>
      </c>
      <c r="AB4">
        <v>34.4</v>
      </c>
      <c r="AE4">
        <v>30.1</v>
      </c>
      <c r="AF4">
        <v>33.6</v>
      </c>
      <c r="AG4">
        <v>29.1</v>
      </c>
      <c r="AH4">
        <v>30.1</v>
      </c>
    </row>
    <row r="5" spans="2:34" hidden="1" x14ac:dyDescent="0.2">
      <c r="C5">
        <v>50.6</v>
      </c>
      <c r="F5">
        <v>71.099999999999994</v>
      </c>
      <c r="G5">
        <v>52.2</v>
      </c>
      <c r="H5">
        <v>59.6</v>
      </c>
      <c r="I5">
        <v>56.2</v>
      </c>
      <c r="J5">
        <v>57</v>
      </c>
      <c r="L5">
        <v>33.1</v>
      </c>
      <c r="N5">
        <v>36.200000000000003</v>
      </c>
      <c r="P5">
        <v>36.6</v>
      </c>
      <c r="Q5">
        <v>43.4</v>
      </c>
      <c r="R5">
        <v>38.4</v>
      </c>
      <c r="S5">
        <v>37.200000000000003</v>
      </c>
      <c r="T5">
        <v>38.1</v>
      </c>
      <c r="U5">
        <v>42.7</v>
      </c>
      <c r="V5">
        <v>33.9</v>
      </c>
      <c r="X5">
        <v>34.6</v>
      </c>
      <c r="Y5">
        <v>35.700000000000003</v>
      </c>
      <c r="AA5">
        <v>38.4</v>
      </c>
      <c r="AB5">
        <v>32.4</v>
      </c>
      <c r="AE5">
        <v>30.1</v>
      </c>
      <c r="AF5">
        <v>34.799999999999997</v>
      </c>
      <c r="AG5">
        <v>28.3</v>
      </c>
      <c r="AH5">
        <v>27.5</v>
      </c>
    </row>
    <row r="6" spans="2:34" hidden="1" x14ac:dyDescent="0.2">
      <c r="B6">
        <v>72.099999999999994</v>
      </c>
      <c r="E6">
        <v>57.5</v>
      </c>
      <c r="G6">
        <v>70.3</v>
      </c>
      <c r="H6">
        <v>52.1</v>
      </c>
      <c r="I6">
        <v>45.1</v>
      </c>
      <c r="J6">
        <v>79.2</v>
      </c>
      <c r="L6">
        <v>45.4</v>
      </c>
      <c r="N6">
        <v>49.2</v>
      </c>
      <c r="P6">
        <v>38.799999999999997</v>
      </c>
      <c r="Q6">
        <v>39.200000000000003</v>
      </c>
      <c r="R6">
        <v>50</v>
      </c>
      <c r="S6">
        <v>39.9</v>
      </c>
      <c r="T6">
        <v>37.6</v>
      </c>
      <c r="U6">
        <v>41.9</v>
      </c>
      <c r="V6">
        <v>31.4</v>
      </c>
      <c r="X6">
        <v>32.5</v>
      </c>
      <c r="Y6">
        <v>36.200000000000003</v>
      </c>
      <c r="Z6">
        <v>30.6</v>
      </c>
      <c r="AA6">
        <v>35.700000000000003</v>
      </c>
      <c r="AB6">
        <v>33.1</v>
      </c>
      <c r="AE6">
        <v>31.5</v>
      </c>
      <c r="AF6">
        <v>29.2</v>
      </c>
      <c r="AG6">
        <v>30.4</v>
      </c>
      <c r="AH6">
        <v>31</v>
      </c>
    </row>
    <row r="7" spans="2:34" hidden="1" x14ac:dyDescent="0.2">
      <c r="B7">
        <v>88.6</v>
      </c>
      <c r="C7">
        <v>55.2</v>
      </c>
      <c r="E7">
        <v>51.5</v>
      </c>
      <c r="F7">
        <v>49.1</v>
      </c>
      <c r="G7">
        <v>60.4</v>
      </c>
      <c r="H7">
        <v>51.6</v>
      </c>
      <c r="I7">
        <v>57.5</v>
      </c>
      <c r="J7">
        <v>50.8</v>
      </c>
      <c r="N7">
        <v>34.6</v>
      </c>
      <c r="P7">
        <v>36.9</v>
      </c>
      <c r="Q7">
        <v>36.6</v>
      </c>
      <c r="S7">
        <v>41.3</v>
      </c>
      <c r="T7">
        <v>39.4</v>
      </c>
      <c r="U7">
        <v>35.1</v>
      </c>
      <c r="V7">
        <v>38.799999999999997</v>
      </c>
      <c r="X7">
        <v>29.8</v>
      </c>
      <c r="Y7">
        <v>39.200000000000003</v>
      </c>
      <c r="Z7">
        <v>32.4</v>
      </c>
      <c r="AA7">
        <v>35.6</v>
      </c>
      <c r="AB7">
        <v>38.1</v>
      </c>
      <c r="AE7">
        <v>31</v>
      </c>
      <c r="AF7">
        <v>30.3</v>
      </c>
      <c r="AG7">
        <v>31.8</v>
      </c>
      <c r="AH7">
        <v>29.3</v>
      </c>
    </row>
    <row r="8" spans="2:34" hidden="1" x14ac:dyDescent="0.2">
      <c r="B8">
        <v>70.400000000000006</v>
      </c>
      <c r="C8">
        <v>55.6</v>
      </c>
      <c r="E8">
        <v>53.9</v>
      </c>
      <c r="F8">
        <v>71.900000000000006</v>
      </c>
      <c r="G8">
        <v>56.9</v>
      </c>
      <c r="H8">
        <v>56.4</v>
      </c>
      <c r="I8">
        <v>57.4</v>
      </c>
      <c r="J8">
        <v>64.099999999999994</v>
      </c>
      <c r="L8">
        <v>38.1</v>
      </c>
      <c r="N8">
        <v>40.200000000000003</v>
      </c>
      <c r="P8">
        <v>34.700000000000003</v>
      </c>
      <c r="Q8">
        <v>32.700000000000003</v>
      </c>
      <c r="R8">
        <v>54.7</v>
      </c>
      <c r="S8">
        <v>34.700000000000003</v>
      </c>
      <c r="T8">
        <v>36.799999999999997</v>
      </c>
      <c r="U8">
        <v>40</v>
      </c>
      <c r="V8">
        <v>35.6</v>
      </c>
      <c r="X8">
        <v>33.9</v>
      </c>
      <c r="Y8">
        <v>36.299999999999997</v>
      </c>
      <c r="Z8">
        <v>28.6</v>
      </c>
      <c r="AA8">
        <v>38.4</v>
      </c>
      <c r="AB8">
        <v>38.1</v>
      </c>
      <c r="AE8">
        <v>29.9</v>
      </c>
      <c r="AF8">
        <v>31.9</v>
      </c>
      <c r="AG8">
        <v>29.9</v>
      </c>
      <c r="AH8">
        <v>26.6</v>
      </c>
    </row>
    <row r="9" spans="2:34" hidden="1" x14ac:dyDescent="0.2">
      <c r="B9">
        <v>0</v>
      </c>
      <c r="C9">
        <v>72.7</v>
      </c>
      <c r="F9">
        <v>58.9</v>
      </c>
      <c r="G9">
        <v>52.4</v>
      </c>
      <c r="H9">
        <v>64.400000000000006</v>
      </c>
      <c r="I9">
        <v>59</v>
      </c>
      <c r="J9">
        <v>50.3</v>
      </c>
      <c r="L9">
        <v>39.4</v>
      </c>
      <c r="N9">
        <v>37.200000000000003</v>
      </c>
      <c r="P9">
        <v>47.2</v>
      </c>
      <c r="Q9">
        <v>42.4</v>
      </c>
      <c r="R9">
        <v>37.9</v>
      </c>
      <c r="S9">
        <v>35.700000000000003</v>
      </c>
      <c r="U9">
        <v>31.9</v>
      </c>
      <c r="V9">
        <v>49.6</v>
      </c>
      <c r="X9">
        <v>46.1</v>
      </c>
      <c r="Y9">
        <v>35.799999999999997</v>
      </c>
      <c r="Z9">
        <v>32.200000000000003</v>
      </c>
      <c r="AA9">
        <v>33.200000000000003</v>
      </c>
      <c r="AB9">
        <v>26.5</v>
      </c>
      <c r="AE9">
        <v>33.200000000000003</v>
      </c>
      <c r="AF9">
        <v>29.1</v>
      </c>
      <c r="AG9">
        <v>29.4</v>
      </c>
      <c r="AH9">
        <v>28.6</v>
      </c>
    </row>
    <row r="10" spans="2:34" hidden="1" x14ac:dyDescent="0.2">
      <c r="B10">
        <v>73.5</v>
      </c>
      <c r="C10">
        <v>55.9</v>
      </c>
      <c r="E10">
        <v>56.2</v>
      </c>
      <c r="F10">
        <v>71.099999999999994</v>
      </c>
      <c r="G10">
        <v>71</v>
      </c>
      <c r="H10">
        <v>62.8</v>
      </c>
      <c r="I10">
        <v>59.6</v>
      </c>
      <c r="J10">
        <v>60.5</v>
      </c>
      <c r="L10">
        <v>58.9</v>
      </c>
      <c r="N10">
        <v>49.9</v>
      </c>
      <c r="P10">
        <v>44</v>
      </c>
      <c r="Q10">
        <v>29.6</v>
      </c>
      <c r="R10">
        <v>56.6</v>
      </c>
      <c r="S10">
        <v>40.700000000000003</v>
      </c>
      <c r="T10">
        <v>34.4</v>
      </c>
      <c r="U10">
        <v>39.4</v>
      </c>
      <c r="V10">
        <v>31.5</v>
      </c>
      <c r="X10">
        <v>35.1</v>
      </c>
      <c r="Y10">
        <v>34.299999999999997</v>
      </c>
      <c r="Z10">
        <v>26.8</v>
      </c>
      <c r="AA10">
        <v>48.8</v>
      </c>
      <c r="AE10">
        <v>28.2</v>
      </c>
      <c r="AF10">
        <v>30.7</v>
      </c>
      <c r="AG10">
        <v>28.8</v>
      </c>
      <c r="AH10">
        <v>29.9</v>
      </c>
    </row>
    <row r="11" spans="2:34" hidden="1" x14ac:dyDescent="0.2">
      <c r="C11">
        <v>55</v>
      </c>
      <c r="E11">
        <v>40.4</v>
      </c>
      <c r="F11">
        <v>48.8</v>
      </c>
      <c r="G11">
        <v>58.3</v>
      </c>
      <c r="H11">
        <v>55.7</v>
      </c>
      <c r="I11">
        <v>55.1</v>
      </c>
      <c r="J11">
        <v>56.9</v>
      </c>
      <c r="L11">
        <v>57.1</v>
      </c>
      <c r="N11">
        <v>50.9</v>
      </c>
      <c r="P11">
        <v>35.299999999999997</v>
      </c>
      <c r="Q11">
        <v>39.4</v>
      </c>
      <c r="S11">
        <v>38.4</v>
      </c>
      <c r="T11">
        <v>33.799999999999997</v>
      </c>
      <c r="U11">
        <v>38.1</v>
      </c>
      <c r="V11">
        <v>32.9</v>
      </c>
      <c r="Y11">
        <v>32.1</v>
      </c>
      <c r="Z11">
        <v>34.299999999999997</v>
      </c>
      <c r="AA11">
        <v>35.1</v>
      </c>
      <c r="AB11">
        <v>33.700000000000003</v>
      </c>
      <c r="AG11">
        <v>32.299999999999997</v>
      </c>
      <c r="AH11">
        <v>27.8</v>
      </c>
    </row>
    <row r="12" spans="2:34" hidden="1" x14ac:dyDescent="0.2">
      <c r="B12">
        <v>73</v>
      </c>
      <c r="C12">
        <v>55.9</v>
      </c>
      <c r="E12">
        <v>66</v>
      </c>
      <c r="F12">
        <v>53.7</v>
      </c>
      <c r="H12">
        <v>52.1</v>
      </c>
      <c r="I12">
        <v>56.8</v>
      </c>
      <c r="J12">
        <v>61.9</v>
      </c>
      <c r="L12">
        <v>40.4</v>
      </c>
      <c r="N12">
        <v>33.700000000000003</v>
      </c>
      <c r="P12">
        <v>34.700000000000003</v>
      </c>
      <c r="Q12">
        <v>36.6</v>
      </c>
      <c r="R12">
        <v>39.9</v>
      </c>
      <c r="S12">
        <v>52.4</v>
      </c>
      <c r="T12">
        <v>37.6</v>
      </c>
      <c r="U12">
        <v>37.5</v>
      </c>
      <c r="V12">
        <v>34.799999999999997</v>
      </c>
      <c r="X12">
        <v>31.2</v>
      </c>
      <c r="Y12">
        <v>37.4</v>
      </c>
      <c r="Z12">
        <v>31.7</v>
      </c>
      <c r="AA12">
        <v>37.299999999999997</v>
      </c>
      <c r="AB12">
        <v>36.200000000000003</v>
      </c>
      <c r="AE12">
        <v>28.1</v>
      </c>
      <c r="AF12">
        <v>29.3</v>
      </c>
      <c r="AG12">
        <v>28.8</v>
      </c>
      <c r="AH12">
        <v>26.8</v>
      </c>
    </row>
    <row r="13" spans="2:34" hidden="1" x14ac:dyDescent="0.2">
      <c r="C13">
        <v>58.8</v>
      </c>
      <c r="E13">
        <v>58.6</v>
      </c>
      <c r="F13">
        <v>52.9</v>
      </c>
      <c r="G13">
        <v>72.2</v>
      </c>
      <c r="H13">
        <v>43.7</v>
      </c>
      <c r="I13">
        <v>31.6</v>
      </c>
      <c r="J13">
        <v>61.8</v>
      </c>
      <c r="L13">
        <v>34.1</v>
      </c>
      <c r="N13">
        <v>33.700000000000003</v>
      </c>
      <c r="P13">
        <v>41.1</v>
      </c>
      <c r="Q13">
        <v>37.6</v>
      </c>
      <c r="R13">
        <v>57.3</v>
      </c>
      <c r="S13">
        <v>47.8</v>
      </c>
      <c r="T13">
        <v>38.9</v>
      </c>
      <c r="U13">
        <v>33.5</v>
      </c>
      <c r="V13">
        <v>43.7</v>
      </c>
      <c r="X13">
        <v>35.700000000000003</v>
      </c>
      <c r="Y13">
        <v>34.299999999999997</v>
      </c>
      <c r="AA13">
        <v>36.799999999999997</v>
      </c>
      <c r="AB13">
        <v>35</v>
      </c>
      <c r="AE13">
        <v>28.2</v>
      </c>
      <c r="AF13">
        <v>29</v>
      </c>
      <c r="AG13">
        <v>29.7</v>
      </c>
      <c r="AH13">
        <v>26.8</v>
      </c>
    </row>
    <row r="14" spans="2:34" hidden="1" x14ac:dyDescent="0.2">
      <c r="B14">
        <v>78.3</v>
      </c>
      <c r="C14">
        <v>52.4</v>
      </c>
      <c r="E14">
        <v>58.4</v>
      </c>
      <c r="F14">
        <v>63.3</v>
      </c>
      <c r="G14">
        <v>59.7</v>
      </c>
      <c r="H14">
        <v>43.4</v>
      </c>
      <c r="I14">
        <v>58.9</v>
      </c>
      <c r="J14">
        <v>62.8</v>
      </c>
      <c r="L14">
        <v>60.8</v>
      </c>
      <c r="N14">
        <v>44.4</v>
      </c>
      <c r="P14">
        <v>38.700000000000003</v>
      </c>
      <c r="Q14">
        <v>38.9</v>
      </c>
      <c r="S14">
        <v>41.4</v>
      </c>
      <c r="T14">
        <v>33.1</v>
      </c>
      <c r="U14">
        <v>39.1</v>
      </c>
      <c r="V14">
        <v>35.6</v>
      </c>
      <c r="X14">
        <v>35.200000000000003</v>
      </c>
      <c r="Y14">
        <v>33.700000000000003</v>
      </c>
      <c r="Z14">
        <v>35.1</v>
      </c>
      <c r="AA14">
        <v>36.200000000000003</v>
      </c>
      <c r="AB14">
        <v>33.200000000000003</v>
      </c>
      <c r="AE14">
        <v>28.3</v>
      </c>
      <c r="AF14">
        <v>33.299999999999997</v>
      </c>
      <c r="AG14">
        <v>32.9</v>
      </c>
      <c r="AH14">
        <v>31.1</v>
      </c>
    </row>
    <row r="15" spans="2:34" hidden="1" x14ac:dyDescent="0.2">
      <c r="B15">
        <v>67.8</v>
      </c>
      <c r="C15">
        <v>54.6</v>
      </c>
      <c r="E15">
        <v>67.400000000000006</v>
      </c>
      <c r="F15">
        <v>61.2</v>
      </c>
      <c r="G15">
        <v>50.3</v>
      </c>
      <c r="H15">
        <v>53.1</v>
      </c>
      <c r="I15">
        <v>68</v>
      </c>
      <c r="J15">
        <v>56.4</v>
      </c>
      <c r="L15">
        <v>40.5</v>
      </c>
      <c r="N15">
        <v>39.4</v>
      </c>
      <c r="P15">
        <v>37.200000000000003</v>
      </c>
      <c r="Q15">
        <v>39.6</v>
      </c>
      <c r="R15">
        <v>30.7</v>
      </c>
      <c r="S15">
        <v>49.6</v>
      </c>
      <c r="T15">
        <v>40.799999999999997</v>
      </c>
      <c r="U15">
        <v>42.6</v>
      </c>
      <c r="V15">
        <v>31.8</v>
      </c>
      <c r="X15">
        <v>41.1</v>
      </c>
      <c r="Y15">
        <v>36.6</v>
      </c>
      <c r="Z15">
        <v>28.1</v>
      </c>
      <c r="AA15">
        <v>32.1</v>
      </c>
      <c r="AB15">
        <v>50.6</v>
      </c>
      <c r="AE15">
        <v>29.1</v>
      </c>
      <c r="AH15">
        <v>27.3</v>
      </c>
    </row>
    <row r="16" spans="2:34" hidden="1" x14ac:dyDescent="0.2">
      <c r="B16">
        <v>87.2</v>
      </c>
      <c r="C16">
        <v>54.4</v>
      </c>
      <c r="E16">
        <v>44.3</v>
      </c>
      <c r="F16">
        <v>56.3</v>
      </c>
      <c r="G16">
        <v>53</v>
      </c>
      <c r="H16">
        <v>39.700000000000003</v>
      </c>
      <c r="I16">
        <v>71.599999999999994</v>
      </c>
      <c r="J16">
        <v>47.2</v>
      </c>
      <c r="L16">
        <v>40.9</v>
      </c>
      <c r="N16">
        <v>39.1</v>
      </c>
      <c r="P16">
        <v>33.4</v>
      </c>
      <c r="Q16">
        <v>39.700000000000003</v>
      </c>
      <c r="S16">
        <v>50.8</v>
      </c>
      <c r="T16">
        <v>33.200000000000003</v>
      </c>
      <c r="U16">
        <v>32.9</v>
      </c>
      <c r="V16">
        <v>39.1</v>
      </c>
      <c r="X16">
        <v>36.9</v>
      </c>
      <c r="Z16">
        <v>32.1</v>
      </c>
      <c r="AA16">
        <v>35.6</v>
      </c>
      <c r="AB16">
        <v>35.4</v>
      </c>
      <c r="AE16">
        <v>33.700000000000003</v>
      </c>
      <c r="AF16">
        <v>30.2</v>
      </c>
      <c r="AG16">
        <v>29.5</v>
      </c>
      <c r="AH16">
        <v>27.7</v>
      </c>
    </row>
    <row r="17" spans="1:34" hidden="1" x14ac:dyDescent="0.2">
      <c r="B17">
        <v>85.4</v>
      </c>
      <c r="C17">
        <v>50</v>
      </c>
      <c r="F17">
        <v>66.2</v>
      </c>
      <c r="G17">
        <v>54.1</v>
      </c>
      <c r="H17">
        <v>33.6</v>
      </c>
      <c r="I17">
        <v>53.9</v>
      </c>
      <c r="J17">
        <v>64.2</v>
      </c>
      <c r="L17">
        <v>41.1</v>
      </c>
      <c r="N17">
        <v>33.6</v>
      </c>
      <c r="P17">
        <v>55.2</v>
      </c>
      <c r="Q17">
        <v>32.5</v>
      </c>
      <c r="R17">
        <v>45.2</v>
      </c>
      <c r="S17">
        <v>57.5</v>
      </c>
      <c r="T17">
        <v>33.700000000000003</v>
      </c>
      <c r="U17">
        <v>42.7</v>
      </c>
      <c r="V17">
        <v>36.6</v>
      </c>
      <c r="X17">
        <v>31.8</v>
      </c>
      <c r="Y17">
        <v>31.8</v>
      </c>
      <c r="Z17">
        <v>35.6</v>
      </c>
      <c r="AA17">
        <v>35.200000000000003</v>
      </c>
      <c r="AB17">
        <v>33.799999999999997</v>
      </c>
      <c r="AE17">
        <v>30.2</v>
      </c>
      <c r="AF17">
        <v>28.4</v>
      </c>
      <c r="AG17">
        <v>27.6</v>
      </c>
      <c r="AH17">
        <v>27.2</v>
      </c>
    </row>
    <row r="18" spans="1:34" hidden="1" x14ac:dyDescent="0.2">
      <c r="B18">
        <v>71.8</v>
      </c>
      <c r="C18">
        <v>49.2</v>
      </c>
      <c r="E18">
        <v>74.7</v>
      </c>
      <c r="F18">
        <v>48.1</v>
      </c>
      <c r="G18">
        <v>69.2</v>
      </c>
      <c r="H18">
        <v>49.9</v>
      </c>
      <c r="I18">
        <v>27.5</v>
      </c>
      <c r="J18">
        <v>70.7</v>
      </c>
      <c r="L18">
        <v>41.4</v>
      </c>
      <c r="N18">
        <v>33</v>
      </c>
      <c r="P18">
        <v>40.299999999999997</v>
      </c>
      <c r="Q18">
        <v>40.799999999999997</v>
      </c>
      <c r="R18">
        <v>48.8</v>
      </c>
      <c r="S18">
        <v>35.200000000000003</v>
      </c>
      <c r="T18">
        <v>43.6</v>
      </c>
      <c r="U18">
        <v>36.6</v>
      </c>
      <c r="V18">
        <v>39.9</v>
      </c>
      <c r="X18">
        <v>35.6</v>
      </c>
      <c r="Y18">
        <v>32.4</v>
      </c>
      <c r="Z18">
        <v>31.5</v>
      </c>
      <c r="AA18">
        <v>33.4</v>
      </c>
      <c r="AB18">
        <v>36.9</v>
      </c>
      <c r="AE18">
        <v>30.2</v>
      </c>
      <c r="AF18">
        <v>32.4</v>
      </c>
      <c r="AG18">
        <v>29.6</v>
      </c>
      <c r="AH18">
        <v>28.6</v>
      </c>
    </row>
    <row r="19" spans="1:34" hidden="1" x14ac:dyDescent="0.2">
      <c r="B19">
        <v>57.9</v>
      </c>
      <c r="C19">
        <v>57.5</v>
      </c>
      <c r="E19">
        <v>60.4</v>
      </c>
      <c r="F19">
        <v>64.3</v>
      </c>
      <c r="G19">
        <v>53.1</v>
      </c>
      <c r="H19">
        <v>39.1</v>
      </c>
      <c r="I19">
        <v>55.6</v>
      </c>
      <c r="J19">
        <v>63.4</v>
      </c>
      <c r="L19">
        <v>42.2</v>
      </c>
      <c r="N19">
        <v>41.7</v>
      </c>
      <c r="P19">
        <v>50.2</v>
      </c>
      <c r="Q19">
        <v>46.5</v>
      </c>
      <c r="R19">
        <v>43.6</v>
      </c>
      <c r="S19">
        <v>38.1</v>
      </c>
      <c r="T19">
        <v>41.6</v>
      </c>
      <c r="U19">
        <v>51.8</v>
      </c>
      <c r="V19">
        <v>45.2</v>
      </c>
      <c r="X19">
        <v>39.1</v>
      </c>
      <c r="Y19">
        <v>38.799999999999997</v>
      </c>
      <c r="Z19">
        <v>27.9</v>
      </c>
      <c r="AA19">
        <v>28.3</v>
      </c>
      <c r="AB19">
        <v>35.9</v>
      </c>
      <c r="AE19">
        <v>31</v>
      </c>
      <c r="AF19">
        <v>29.2</v>
      </c>
      <c r="AG19">
        <v>30.8</v>
      </c>
      <c r="AH19">
        <v>26.2</v>
      </c>
    </row>
    <row r="20" spans="1:34" hidden="1" x14ac:dyDescent="0.2">
      <c r="B20">
        <v>75.2</v>
      </c>
      <c r="E20">
        <v>71.400000000000006</v>
      </c>
      <c r="F20">
        <v>55.4</v>
      </c>
      <c r="G20">
        <v>58.3</v>
      </c>
      <c r="H20">
        <v>40.9</v>
      </c>
      <c r="I20">
        <v>34.200000000000003</v>
      </c>
      <c r="J20">
        <v>57.8</v>
      </c>
      <c r="L20">
        <v>66.400000000000006</v>
      </c>
      <c r="N20">
        <v>39.799999999999997</v>
      </c>
      <c r="P20">
        <v>41.6</v>
      </c>
      <c r="Q20">
        <v>34</v>
      </c>
      <c r="R20">
        <v>46.2</v>
      </c>
      <c r="S20">
        <v>42.5</v>
      </c>
      <c r="T20">
        <v>38.799999999999997</v>
      </c>
      <c r="U20">
        <v>35.4</v>
      </c>
      <c r="V20">
        <v>39.6</v>
      </c>
      <c r="X20">
        <v>32.5</v>
      </c>
      <c r="Y20">
        <v>34.5</v>
      </c>
      <c r="Z20">
        <v>31.3</v>
      </c>
      <c r="AA20">
        <v>37.200000000000003</v>
      </c>
      <c r="AB20">
        <v>31.6</v>
      </c>
      <c r="AE20">
        <v>30.5</v>
      </c>
      <c r="AF20">
        <v>31.1</v>
      </c>
      <c r="AG20">
        <v>34.4</v>
      </c>
      <c r="AH20">
        <v>29.1</v>
      </c>
    </row>
    <row r="21" spans="1:34" hidden="1" x14ac:dyDescent="0.2">
      <c r="B21">
        <v>59.9</v>
      </c>
      <c r="C21">
        <v>52.1</v>
      </c>
      <c r="F21">
        <v>69.2</v>
      </c>
      <c r="G21">
        <v>63.8</v>
      </c>
      <c r="H21">
        <v>53.5</v>
      </c>
      <c r="I21">
        <v>54.4</v>
      </c>
      <c r="J21">
        <v>68.400000000000006</v>
      </c>
      <c r="L21">
        <v>36.200000000000003</v>
      </c>
      <c r="N21">
        <v>43.2</v>
      </c>
      <c r="P21">
        <v>41.6</v>
      </c>
      <c r="Q21">
        <v>37.799999999999997</v>
      </c>
      <c r="R21">
        <v>50.8</v>
      </c>
      <c r="S21">
        <v>55.5</v>
      </c>
      <c r="T21">
        <v>35.6</v>
      </c>
      <c r="U21">
        <v>37.799999999999997</v>
      </c>
      <c r="V21">
        <v>58</v>
      </c>
      <c r="X21">
        <v>41.2</v>
      </c>
      <c r="Y21">
        <v>30.2</v>
      </c>
      <c r="Z21">
        <v>29.1</v>
      </c>
      <c r="AA21">
        <v>37.200000000000003</v>
      </c>
      <c r="AB21">
        <v>32.799999999999997</v>
      </c>
      <c r="AE21">
        <v>34.6</v>
      </c>
      <c r="AF21">
        <v>29.2</v>
      </c>
      <c r="AG21">
        <v>29.4</v>
      </c>
      <c r="AH21">
        <v>28.2</v>
      </c>
    </row>
    <row r="23" spans="1:34" x14ac:dyDescent="0.2">
      <c r="A23" t="s">
        <v>34</v>
      </c>
      <c r="B23">
        <f>AVERAGE(B2:B21)</f>
        <v>69.074999999999989</v>
      </c>
      <c r="C23">
        <f>AVERAGE(C2:C21)</f>
        <v>54.427777777777777</v>
      </c>
      <c r="E23">
        <f>AVERAGE(E2:E21)</f>
        <v>56.61249999999999</v>
      </c>
      <c r="F23">
        <f>AVERAGE(F2:F21)</f>
        <v>56.684210526315788</v>
      </c>
      <c r="G23">
        <f>AVERAGE(G2:G21)</f>
        <v>59.431578947368422</v>
      </c>
      <c r="H23">
        <f t="shared" ref="H23:J23" si="0">AVERAGE(H2:H21)</f>
        <v>50.595000000000006</v>
      </c>
      <c r="I23">
        <f t="shared" si="0"/>
        <v>51.2</v>
      </c>
      <c r="J23">
        <f t="shared" si="0"/>
        <v>59.4</v>
      </c>
      <c r="L23">
        <f>AVERAGE(L2:L21)</f>
        <v>44.973684210526315</v>
      </c>
      <c r="M23" t="e">
        <f>AVERAGE(M2:M21)</f>
        <v>#DIV/0!</v>
      </c>
      <c r="N23">
        <f t="shared" ref="N23" si="1">AVERAGE(N2:N21)</f>
        <v>40.975000000000001</v>
      </c>
      <c r="P23">
        <f>AVERAGE(P2:P21)</f>
        <v>40.015000000000001</v>
      </c>
      <c r="Q23">
        <f t="shared" ref="Q23:S23" si="2">AVERAGE(Q2:Q21)</f>
        <v>37.659999999999997</v>
      </c>
      <c r="R23">
        <f t="shared" si="2"/>
        <v>45.3125</v>
      </c>
      <c r="S23">
        <f t="shared" si="2"/>
        <v>42.519999999999996</v>
      </c>
      <c r="T23">
        <f>AVERAGE(T2:T21)</f>
        <v>37.047368421052639</v>
      </c>
      <c r="U23">
        <f>AVERAGE(U2:U21)</f>
        <v>38.584999999999994</v>
      </c>
      <c r="V23">
        <f t="shared" ref="V23" si="3">AVERAGE(V2:V21)</f>
        <v>38.250000000000007</v>
      </c>
      <c r="X23">
        <f t="shared" ref="X23:AC23" si="4">AVERAGE(X2:X21)</f>
        <v>35.621052631578948</v>
      </c>
      <c r="Y23">
        <f t="shared" si="4"/>
        <v>36.084210526315786</v>
      </c>
      <c r="Z23">
        <f t="shared" si="4"/>
        <v>30.483333333333334</v>
      </c>
      <c r="AA23">
        <f t="shared" si="4"/>
        <v>35.915000000000006</v>
      </c>
      <c r="AB23">
        <f t="shared" si="4"/>
        <v>34.763157894736835</v>
      </c>
      <c r="AC23" t="e">
        <f t="shared" si="4"/>
        <v>#DIV/0!</v>
      </c>
      <c r="AE23">
        <f>AVERAGE(AE2:AE21)</f>
        <v>30.36315789473684</v>
      </c>
      <c r="AF23">
        <f>AVERAGE(AF2:AF21)</f>
        <v>30.87222222222222</v>
      </c>
      <c r="AG23">
        <f>AVERAGE(AG2:AG21)</f>
        <v>29.831578947368424</v>
      </c>
      <c r="AH23">
        <f>AVERAGE(AH2:AH21)</f>
        <v>28.373684210526324</v>
      </c>
    </row>
    <row r="25" spans="1:34" x14ac:dyDescent="0.2">
      <c r="A25" t="s">
        <v>35</v>
      </c>
      <c r="B25">
        <f>_xlfn.QUARTILE.INC(B2:B21,1)</f>
        <v>65.825000000000003</v>
      </c>
      <c r="C25">
        <f>_xlfn.QUARTILE.INC(C2:C21,1)</f>
        <v>50.65</v>
      </c>
      <c r="E25">
        <f>_xlfn.QUARTILE.INC(E2:E21,1)</f>
        <v>51.475000000000001</v>
      </c>
      <c r="F25">
        <f>_xlfn.QUARTILE.INC(F2:F21,1)</f>
        <v>48.95</v>
      </c>
      <c r="G25">
        <f>_xlfn.QUARTILE.INC(G2:G21,1)</f>
        <v>53.6</v>
      </c>
      <c r="H25">
        <f t="shared" ref="H25:J25" si="5">_xlfn.QUARTILE.INC(H2:H21,1)</f>
        <v>43.625</v>
      </c>
      <c r="I25">
        <f t="shared" si="5"/>
        <v>43.3</v>
      </c>
      <c r="J25">
        <f t="shared" si="5"/>
        <v>56.774999999999999</v>
      </c>
      <c r="L25">
        <f>_xlfn.QUARTILE.INC(L2:L21,1)</f>
        <v>38.75</v>
      </c>
      <c r="M25" t="e">
        <f>_xlfn.QUARTILE.INC(M2:M21,1)</f>
        <v>#NUM!</v>
      </c>
      <c r="N25">
        <f t="shared" ref="N25" si="6">_xlfn.QUARTILE.INC(N2:N21,1)</f>
        <v>35.800000000000004</v>
      </c>
      <c r="P25">
        <f>_xlfn.QUARTILE.INC(P2:P21,1)</f>
        <v>36.825000000000003</v>
      </c>
      <c r="Q25">
        <f t="shared" ref="Q25:S25" si="7">_xlfn.QUARTILE.INC(Q2:Q21,1)</f>
        <v>35</v>
      </c>
      <c r="R25">
        <f t="shared" si="7"/>
        <v>40.35</v>
      </c>
      <c r="S25">
        <f t="shared" si="7"/>
        <v>37.575000000000003</v>
      </c>
      <c r="T25">
        <f>_xlfn.QUARTILE.INC(T2:T21,1)</f>
        <v>34.099999999999994</v>
      </c>
      <c r="U25">
        <f>_xlfn.QUARTILE.INC(U2:U21,1)</f>
        <v>35.325000000000003</v>
      </c>
      <c r="V25">
        <f t="shared" ref="V25" si="8">_xlfn.QUARTILE.INC(V2:V21,1)</f>
        <v>33.65</v>
      </c>
      <c r="X25">
        <f t="shared" ref="X25:AC25" si="9">_xlfn.QUARTILE.INC(X2:X21,1)</f>
        <v>32.9</v>
      </c>
      <c r="Y25">
        <f t="shared" si="9"/>
        <v>34</v>
      </c>
      <c r="Z25">
        <f t="shared" si="9"/>
        <v>28.225000000000001</v>
      </c>
      <c r="AA25">
        <f t="shared" si="9"/>
        <v>34.6</v>
      </c>
      <c r="AB25">
        <f t="shared" si="9"/>
        <v>32.950000000000003</v>
      </c>
      <c r="AC25" t="e">
        <f t="shared" si="9"/>
        <v>#NUM!</v>
      </c>
      <c r="AE25">
        <f>_xlfn.QUARTILE.INC(AE2:AE21,1)</f>
        <v>28.85</v>
      </c>
      <c r="AF25">
        <f>_xlfn.QUARTILE.INC(AF2:AF21,1)</f>
        <v>29.2</v>
      </c>
      <c r="AG25">
        <f>_xlfn.QUARTILE.INC(AG2:AG21,1)</f>
        <v>28.85</v>
      </c>
      <c r="AH25">
        <f>_xlfn.QUARTILE.INC(AH2:AH21,1)</f>
        <v>27.25</v>
      </c>
    </row>
    <row r="26" spans="1:34" x14ac:dyDescent="0.2">
      <c r="A26" t="s">
        <v>36</v>
      </c>
      <c r="B26">
        <f>_xlfn.QUARTILE.INC(B2:B21,2)</f>
        <v>72.55</v>
      </c>
      <c r="C26">
        <f>_xlfn.QUARTILE.INC(C2:C21,2)</f>
        <v>54.5</v>
      </c>
      <c r="E26">
        <f>_xlfn.QUARTILE.INC(E2:E21,2)</f>
        <v>56.85</v>
      </c>
      <c r="F26">
        <f>_xlfn.QUARTILE.INC(F2:F21,2)</f>
        <v>56.3</v>
      </c>
      <c r="G26">
        <f>_xlfn.QUARTILE.INC(G2:G21,2)</f>
        <v>58.3</v>
      </c>
      <c r="H26">
        <f t="shared" ref="H26:J26" si="10">_xlfn.QUARTILE.INC(H2:H21,2)</f>
        <v>52.1</v>
      </c>
      <c r="I26">
        <f t="shared" si="10"/>
        <v>55.35</v>
      </c>
      <c r="J26">
        <f t="shared" si="10"/>
        <v>59.25</v>
      </c>
      <c r="L26">
        <f>_xlfn.QUARTILE.INC(L2:L21,2)</f>
        <v>41.1</v>
      </c>
      <c r="M26" t="e">
        <f>_xlfn.QUARTILE.INC(M2:M21,2)</f>
        <v>#NUM!</v>
      </c>
      <c r="N26">
        <f t="shared" ref="N26" si="11">_xlfn.QUARTILE.INC(N2:N21,2)</f>
        <v>39.599999999999994</v>
      </c>
      <c r="P26">
        <f>_xlfn.QUARTILE.INC(P2:P21,2)</f>
        <v>38.400000000000006</v>
      </c>
      <c r="Q26">
        <f t="shared" ref="Q26:S26" si="12">_xlfn.QUARTILE.INC(Q2:Q21,2)</f>
        <v>37.700000000000003</v>
      </c>
      <c r="R26">
        <f t="shared" si="12"/>
        <v>44.400000000000006</v>
      </c>
      <c r="S26">
        <f t="shared" si="12"/>
        <v>40.299999999999997</v>
      </c>
      <c r="T26">
        <f>_xlfn.QUARTILE.INC(T2:T21,2)</f>
        <v>37.6</v>
      </c>
      <c r="U26">
        <f>_xlfn.QUARTILE.INC(U2:U21,2)</f>
        <v>37.950000000000003</v>
      </c>
      <c r="V26">
        <f t="shared" ref="V26" si="13">_xlfn.QUARTILE.INC(V2:V21,2)</f>
        <v>36.400000000000006</v>
      </c>
      <c r="X26">
        <f t="shared" ref="X26:AC26" si="14">_xlfn.QUARTILE.INC(X2:X21,2)</f>
        <v>35.1</v>
      </c>
      <c r="Y26">
        <f t="shared" si="14"/>
        <v>35.799999999999997</v>
      </c>
      <c r="Z26">
        <f t="shared" si="14"/>
        <v>30.950000000000003</v>
      </c>
      <c r="AA26">
        <f t="shared" si="14"/>
        <v>35.650000000000006</v>
      </c>
      <c r="AB26">
        <f t="shared" si="14"/>
        <v>34.4</v>
      </c>
      <c r="AC26" t="e">
        <f t="shared" si="14"/>
        <v>#NUM!</v>
      </c>
      <c r="AE26">
        <f>_xlfn.QUARTILE.INC(AE2:AE21,2)</f>
        <v>30.2</v>
      </c>
      <c r="AF26">
        <f>_xlfn.QUARTILE.INC(AF2:AF21,2)</f>
        <v>30.450000000000003</v>
      </c>
      <c r="AG26">
        <f>_xlfn.QUARTILE.INC(AG2:AG21,2)</f>
        <v>29.5</v>
      </c>
      <c r="AH26">
        <f>_xlfn.QUARTILE.INC(AH2:AH21,2)</f>
        <v>28.2</v>
      </c>
    </row>
    <row r="27" spans="1:34" x14ac:dyDescent="0.2">
      <c r="A27" t="s">
        <v>37</v>
      </c>
      <c r="B27">
        <f>_xlfn.QUARTILE.INC(B2:B21,3)</f>
        <v>79.849999999999994</v>
      </c>
      <c r="C27">
        <f>_xlfn.QUARTILE.INC(C2:C21,3)</f>
        <v>55.825000000000003</v>
      </c>
      <c r="E27">
        <f>_xlfn.QUARTILE.INC(E2:E21,3)</f>
        <v>61.8</v>
      </c>
      <c r="F27">
        <f>_xlfn.QUARTILE.INC(F2:F21,3)</f>
        <v>65.25</v>
      </c>
      <c r="G27">
        <f>_xlfn.QUARTILE.INC(G2:G21,3)</f>
        <v>62.2</v>
      </c>
      <c r="H27">
        <f t="shared" ref="H27:J27" si="15">_xlfn.QUARTILE.INC(H2:H21,3)</f>
        <v>56.174999999999997</v>
      </c>
      <c r="I27">
        <f t="shared" si="15"/>
        <v>57.85</v>
      </c>
      <c r="J27">
        <f t="shared" si="15"/>
        <v>63.574999999999996</v>
      </c>
      <c r="L27">
        <f>_xlfn.QUARTILE.INC(L2:L21,3)</f>
        <v>50.5</v>
      </c>
      <c r="M27" t="e">
        <f>_xlfn.QUARTILE.INC(M2:M21,3)</f>
        <v>#NUM!</v>
      </c>
      <c r="N27">
        <f t="shared" ref="N27" si="16">_xlfn.QUARTILE.INC(N2:N21,3)</f>
        <v>45.6</v>
      </c>
      <c r="P27">
        <f>_xlfn.QUARTILE.INC(P2:P21,3)</f>
        <v>41.6</v>
      </c>
      <c r="Q27">
        <f t="shared" ref="Q27:S27" si="17">_xlfn.QUARTILE.INC(Q2:Q21,3)</f>
        <v>39.625</v>
      </c>
      <c r="R27">
        <f t="shared" si="17"/>
        <v>50.2</v>
      </c>
      <c r="S27">
        <f t="shared" si="17"/>
        <v>48.25</v>
      </c>
      <c r="T27">
        <f>_xlfn.QUARTILE.INC(T2:T21,3)</f>
        <v>39.15</v>
      </c>
      <c r="U27">
        <f>_xlfn.QUARTILE.INC(U2:U21,3)</f>
        <v>42.075000000000003</v>
      </c>
      <c r="V27">
        <f t="shared" ref="V27" si="18">_xlfn.QUARTILE.INC(V2:V21,3)</f>
        <v>39.674999999999997</v>
      </c>
      <c r="X27">
        <f t="shared" ref="X27:AC27" si="19">_xlfn.QUARTILE.INC(X2:X21,3)</f>
        <v>36.75</v>
      </c>
      <c r="Y27">
        <f t="shared" si="19"/>
        <v>37</v>
      </c>
      <c r="Z27">
        <f t="shared" si="19"/>
        <v>32.175000000000004</v>
      </c>
      <c r="AA27">
        <f t="shared" si="19"/>
        <v>37.200000000000003</v>
      </c>
      <c r="AB27">
        <f t="shared" si="19"/>
        <v>36.049999999999997</v>
      </c>
      <c r="AC27" t="e">
        <f t="shared" si="19"/>
        <v>#NUM!</v>
      </c>
      <c r="AE27">
        <f>_xlfn.QUARTILE.INC(AE2:AE21,3)</f>
        <v>31</v>
      </c>
      <c r="AF27">
        <f>_xlfn.QUARTILE.INC(AF2:AF21,3)</f>
        <v>32.274999999999999</v>
      </c>
      <c r="AG27">
        <f>_xlfn.QUARTILE.INC(AG2:AG21,3)</f>
        <v>30.6</v>
      </c>
      <c r="AH27">
        <f>_xlfn.QUARTILE.INC(AH2:AH21,3)</f>
        <v>29.3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2D34-7600-CB48-824F-9257B6466E85}">
  <dimension ref="A1:AG27"/>
  <sheetViews>
    <sheetView workbookViewId="0">
      <selection activeCell="H38" sqref="H38"/>
    </sheetView>
  </sheetViews>
  <sheetFormatPr baseColWidth="10" defaultColWidth="10.6640625" defaultRowHeight="16" x14ac:dyDescent="0.2"/>
  <cols>
    <col min="3" max="3" width="2.33203125" style="2" customWidth="1"/>
    <col min="10" max="10" width="2.33203125" style="2" customWidth="1"/>
    <col min="14" max="14" width="2.33203125" style="2" customWidth="1"/>
    <col min="22" max="22" width="2.33203125" style="2" customWidth="1"/>
    <col min="29" max="29" width="2.33203125" style="2" customWidth="1"/>
  </cols>
  <sheetData>
    <row r="1" spans="1:33" x14ac:dyDescent="0.2">
      <c r="A1" t="s">
        <v>0</v>
      </c>
      <c r="B1" t="s">
        <v>6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K1" t="s">
        <v>11</v>
      </c>
      <c r="L1" t="s">
        <v>28</v>
      </c>
      <c r="M1" t="s">
        <v>10</v>
      </c>
      <c r="O1" t="s">
        <v>1</v>
      </c>
      <c r="P1" t="s">
        <v>29</v>
      </c>
      <c r="Q1" t="s">
        <v>32</v>
      </c>
      <c r="R1" t="s">
        <v>30</v>
      </c>
      <c r="S1" t="s">
        <v>9</v>
      </c>
      <c r="T1" t="s">
        <v>4</v>
      </c>
      <c r="U1" t="s">
        <v>5</v>
      </c>
      <c r="W1" t="s">
        <v>18</v>
      </c>
      <c r="X1" t="s">
        <v>8</v>
      </c>
      <c r="Y1" t="s">
        <v>21</v>
      </c>
      <c r="Z1" t="s">
        <v>20</v>
      </c>
      <c r="AA1" t="s">
        <v>7</v>
      </c>
      <c r="AB1" t="s">
        <v>19</v>
      </c>
      <c r="AD1" t="s">
        <v>2</v>
      </c>
      <c r="AE1" t="s">
        <v>3</v>
      </c>
      <c r="AF1" t="s">
        <v>22</v>
      </c>
      <c r="AG1" t="s">
        <v>31</v>
      </c>
    </row>
    <row r="2" spans="1:33" x14ac:dyDescent="0.2">
      <c r="A2">
        <v>98.5</v>
      </c>
      <c r="B2">
        <v>98.2</v>
      </c>
      <c r="D2">
        <v>89.4</v>
      </c>
      <c r="E2">
        <v>82.5</v>
      </c>
      <c r="F2">
        <v>89.4</v>
      </c>
      <c r="G2">
        <v>66.599999999999994</v>
      </c>
      <c r="H2">
        <v>89.2</v>
      </c>
      <c r="I2">
        <v>89.4</v>
      </c>
      <c r="K2">
        <v>48.1</v>
      </c>
      <c r="L2">
        <v>53.4</v>
      </c>
      <c r="M2">
        <v>58.1</v>
      </c>
      <c r="O2">
        <v>45</v>
      </c>
      <c r="P2">
        <v>51.2</v>
      </c>
      <c r="Q2">
        <v>54.4</v>
      </c>
      <c r="R2">
        <v>38.1</v>
      </c>
      <c r="S2">
        <v>33.1</v>
      </c>
      <c r="T2">
        <v>48.8</v>
      </c>
      <c r="U2">
        <v>55.6</v>
      </c>
      <c r="W2" s="1">
        <v>48.8</v>
      </c>
      <c r="X2" s="1">
        <v>35.299999999999997</v>
      </c>
      <c r="Y2">
        <v>25</v>
      </c>
      <c r="Z2">
        <v>56.9</v>
      </c>
      <c r="AA2">
        <v>35.299999999999997</v>
      </c>
      <c r="AB2">
        <v>33.799999999999997</v>
      </c>
      <c r="AD2">
        <v>22.5</v>
      </c>
      <c r="AE2" s="1">
        <v>33.799999999999997</v>
      </c>
      <c r="AF2">
        <v>23.8</v>
      </c>
      <c r="AG2">
        <v>22.5</v>
      </c>
    </row>
    <row r="3" spans="1:33" x14ac:dyDescent="0.2">
      <c r="A3">
        <v>96.2</v>
      </c>
      <c r="B3">
        <v>98.2</v>
      </c>
      <c r="D3">
        <v>89.2</v>
      </c>
      <c r="E3">
        <v>68.400000000000006</v>
      </c>
      <c r="F3">
        <v>96.1</v>
      </c>
      <c r="G3">
        <v>89.4</v>
      </c>
      <c r="H3">
        <v>89.4</v>
      </c>
      <c r="I3">
        <v>89.4</v>
      </c>
      <c r="K3">
        <v>52.8</v>
      </c>
      <c r="L3">
        <v>49.4</v>
      </c>
      <c r="M3">
        <v>53.1</v>
      </c>
      <c r="O3">
        <v>56.9</v>
      </c>
      <c r="P3">
        <v>40.6</v>
      </c>
      <c r="Q3">
        <v>41.2</v>
      </c>
      <c r="R3">
        <v>33.799999999999997</v>
      </c>
      <c r="S3">
        <v>40</v>
      </c>
      <c r="T3">
        <v>36.9</v>
      </c>
      <c r="U3">
        <v>45.6</v>
      </c>
      <c r="W3" s="1">
        <v>36.6</v>
      </c>
      <c r="X3" s="1">
        <v>48.8</v>
      </c>
      <c r="Y3">
        <v>22.8</v>
      </c>
      <c r="Z3">
        <v>50.9</v>
      </c>
      <c r="AA3">
        <v>36.200000000000003</v>
      </c>
      <c r="AB3">
        <v>35.9</v>
      </c>
      <c r="AD3">
        <v>33.799999999999997</v>
      </c>
      <c r="AE3" s="1">
        <v>33.799999999999997</v>
      </c>
      <c r="AF3">
        <v>22.5</v>
      </c>
      <c r="AG3">
        <v>22.2</v>
      </c>
    </row>
    <row r="4" spans="1:33" x14ac:dyDescent="0.2">
      <c r="A4">
        <v>98.5</v>
      </c>
      <c r="B4">
        <v>98.2</v>
      </c>
      <c r="D4">
        <v>89.2</v>
      </c>
      <c r="E4">
        <v>89.4</v>
      </c>
      <c r="F4">
        <v>81.900000000000006</v>
      </c>
      <c r="G4">
        <v>89.4</v>
      </c>
      <c r="H4">
        <v>38.1</v>
      </c>
      <c r="I4">
        <v>89.4</v>
      </c>
      <c r="K4">
        <v>45.6</v>
      </c>
      <c r="L4">
        <v>33.799999999999997</v>
      </c>
      <c r="M4">
        <v>53.1</v>
      </c>
      <c r="O4">
        <v>49.4</v>
      </c>
      <c r="P4">
        <v>38.4</v>
      </c>
      <c r="Q4">
        <v>40.299999999999997</v>
      </c>
      <c r="R4">
        <v>48.1</v>
      </c>
      <c r="S4">
        <v>41.2</v>
      </c>
      <c r="T4">
        <v>49.4</v>
      </c>
      <c r="U4">
        <v>49.4</v>
      </c>
      <c r="W4" s="1">
        <v>37.5</v>
      </c>
      <c r="X4" s="1">
        <v>35</v>
      </c>
      <c r="Y4">
        <v>35.6</v>
      </c>
      <c r="Z4">
        <v>40.299999999999997</v>
      </c>
      <c r="AA4">
        <v>35.9</v>
      </c>
      <c r="AB4">
        <v>35.299999999999997</v>
      </c>
      <c r="AD4">
        <v>22.2</v>
      </c>
      <c r="AE4" s="1">
        <v>33.799999999999997</v>
      </c>
      <c r="AF4">
        <v>33.799999999999997</v>
      </c>
      <c r="AG4">
        <v>22.5</v>
      </c>
    </row>
    <row r="5" spans="1:33" x14ac:dyDescent="0.2">
      <c r="A5">
        <v>97.2</v>
      </c>
      <c r="B5">
        <v>98.5</v>
      </c>
      <c r="D5">
        <v>84.4</v>
      </c>
      <c r="E5">
        <v>72.5</v>
      </c>
      <c r="F5">
        <v>56.2</v>
      </c>
      <c r="G5">
        <v>71.599999999999994</v>
      </c>
      <c r="H5">
        <v>84.4</v>
      </c>
      <c r="I5">
        <v>91.2</v>
      </c>
      <c r="K5">
        <v>54.1</v>
      </c>
      <c r="L5">
        <v>32.799999999999997</v>
      </c>
      <c r="M5">
        <v>47.2</v>
      </c>
      <c r="O5">
        <v>49.4</v>
      </c>
      <c r="P5">
        <v>50.6</v>
      </c>
      <c r="Q5">
        <v>36.9</v>
      </c>
      <c r="R5">
        <v>38.4</v>
      </c>
      <c r="S5">
        <v>38.799999999999997</v>
      </c>
      <c r="T5">
        <v>65.900000000000006</v>
      </c>
      <c r="U5">
        <v>49.4</v>
      </c>
      <c r="W5" s="1">
        <v>47.5</v>
      </c>
      <c r="X5" s="1">
        <v>35.9</v>
      </c>
      <c r="Y5">
        <v>35</v>
      </c>
      <c r="Z5">
        <v>48.8</v>
      </c>
      <c r="AA5">
        <v>22.8</v>
      </c>
      <c r="AB5">
        <v>26.6</v>
      </c>
      <c r="AD5">
        <v>22.5</v>
      </c>
      <c r="AE5" s="1">
        <v>34.700000000000003</v>
      </c>
      <c r="AF5">
        <v>32.799999999999997</v>
      </c>
      <c r="AG5">
        <v>22.5</v>
      </c>
    </row>
    <row r="6" spans="1:33" x14ac:dyDescent="0.2">
      <c r="A6">
        <v>98.2</v>
      </c>
      <c r="B6">
        <v>96.1</v>
      </c>
      <c r="D6">
        <v>73.8</v>
      </c>
      <c r="E6">
        <v>66.900000000000006</v>
      </c>
      <c r="F6">
        <v>89.4</v>
      </c>
      <c r="G6">
        <v>74.400000000000006</v>
      </c>
      <c r="H6">
        <v>89.4</v>
      </c>
      <c r="I6">
        <v>91.2</v>
      </c>
      <c r="K6">
        <v>49.1</v>
      </c>
      <c r="L6">
        <v>50.6</v>
      </c>
      <c r="M6">
        <v>53.1</v>
      </c>
      <c r="O6">
        <v>50</v>
      </c>
      <c r="P6">
        <v>38.799999999999997</v>
      </c>
      <c r="Q6">
        <v>38.1</v>
      </c>
      <c r="R6">
        <v>33.799999999999997</v>
      </c>
      <c r="S6">
        <v>39.4</v>
      </c>
      <c r="T6">
        <v>48.8</v>
      </c>
      <c r="U6">
        <v>59.4</v>
      </c>
      <c r="W6" s="1">
        <v>35.6</v>
      </c>
      <c r="X6" s="1">
        <v>35</v>
      </c>
      <c r="Y6">
        <v>21.9</v>
      </c>
      <c r="Z6">
        <v>40</v>
      </c>
      <c r="AA6">
        <v>35.9</v>
      </c>
      <c r="AB6">
        <v>33.799999999999997</v>
      </c>
      <c r="AD6">
        <v>33.799999999999997</v>
      </c>
      <c r="AE6" s="1">
        <v>33.799999999999997</v>
      </c>
      <c r="AF6">
        <v>34.4</v>
      </c>
      <c r="AG6">
        <v>22.2</v>
      </c>
    </row>
    <row r="7" spans="1:33" x14ac:dyDescent="0.2">
      <c r="A7">
        <v>98.2</v>
      </c>
      <c r="B7">
        <v>98.2</v>
      </c>
      <c r="D7">
        <v>71.8</v>
      </c>
      <c r="E7">
        <v>89.7</v>
      </c>
      <c r="F7">
        <v>96.1</v>
      </c>
      <c r="G7">
        <v>74.400000000000006</v>
      </c>
      <c r="H7">
        <v>72.5</v>
      </c>
      <c r="I7">
        <v>67.5</v>
      </c>
      <c r="K7">
        <v>48.4</v>
      </c>
      <c r="L7">
        <v>46.9</v>
      </c>
      <c r="M7">
        <v>50.6</v>
      </c>
      <c r="O7">
        <v>44.1</v>
      </c>
      <c r="P7">
        <v>50.6</v>
      </c>
      <c r="Q7">
        <v>49.7</v>
      </c>
      <c r="R7">
        <v>35</v>
      </c>
      <c r="S7">
        <v>50</v>
      </c>
      <c r="T7">
        <v>35.6</v>
      </c>
      <c r="U7">
        <v>59.4</v>
      </c>
      <c r="W7" s="1">
        <v>34.1</v>
      </c>
      <c r="X7" s="1">
        <v>50.6</v>
      </c>
      <c r="Y7">
        <v>34.4</v>
      </c>
      <c r="Z7">
        <v>49.7</v>
      </c>
      <c r="AA7">
        <v>35</v>
      </c>
      <c r="AB7">
        <v>28.1</v>
      </c>
      <c r="AD7">
        <v>34.1</v>
      </c>
      <c r="AE7" s="1">
        <v>34.4</v>
      </c>
      <c r="AF7">
        <v>25</v>
      </c>
      <c r="AG7">
        <v>33.799999999999997</v>
      </c>
    </row>
    <row r="8" spans="1:33" x14ac:dyDescent="0.2">
      <c r="A8">
        <v>98.2</v>
      </c>
      <c r="B8">
        <v>97.2</v>
      </c>
      <c r="D8">
        <v>68.099999999999994</v>
      </c>
      <c r="E8">
        <v>84.4</v>
      </c>
      <c r="F8">
        <v>89.4</v>
      </c>
      <c r="G8">
        <v>89.4</v>
      </c>
      <c r="H8">
        <v>71.900000000000006</v>
      </c>
      <c r="I8">
        <v>84.4</v>
      </c>
      <c r="K8">
        <v>53.1</v>
      </c>
      <c r="L8">
        <v>54.7</v>
      </c>
      <c r="M8">
        <v>60.3</v>
      </c>
      <c r="O8">
        <v>38.799999999999997</v>
      </c>
      <c r="P8">
        <v>36.6</v>
      </c>
      <c r="Q8">
        <v>54.4</v>
      </c>
      <c r="R8">
        <v>35.6</v>
      </c>
      <c r="S8">
        <v>38.799999999999997</v>
      </c>
      <c r="T8">
        <v>33.799999999999997</v>
      </c>
      <c r="U8">
        <v>49.4</v>
      </c>
      <c r="W8" s="1">
        <v>35.6</v>
      </c>
      <c r="X8" s="1">
        <v>36.200000000000003</v>
      </c>
      <c r="Y8">
        <v>35</v>
      </c>
      <c r="Z8">
        <v>39.4</v>
      </c>
      <c r="AA8">
        <v>41.2</v>
      </c>
      <c r="AB8">
        <v>32.5</v>
      </c>
      <c r="AD8">
        <v>24.1</v>
      </c>
      <c r="AE8" s="1">
        <v>33.4</v>
      </c>
      <c r="AF8">
        <v>33.799999999999997</v>
      </c>
      <c r="AG8">
        <v>22.5</v>
      </c>
    </row>
    <row r="9" spans="1:33" x14ac:dyDescent="0.2">
      <c r="A9">
        <v>98.2</v>
      </c>
      <c r="B9">
        <v>98.2</v>
      </c>
      <c r="D9">
        <v>89.4</v>
      </c>
      <c r="E9">
        <v>74.7</v>
      </c>
      <c r="F9">
        <v>91.2</v>
      </c>
      <c r="G9">
        <v>68</v>
      </c>
      <c r="H9">
        <v>96.1</v>
      </c>
      <c r="I9">
        <v>74.7</v>
      </c>
      <c r="K9">
        <v>46.9</v>
      </c>
      <c r="L9">
        <v>49.4</v>
      </c>
      <c r="M9">
        <v>60.6</v>
      </c>
      <c r="O9">
        <v>49.4</v>
      </c>
      <c r="P9">
        <v>49.4</v>
      </c>
      <c r="Q9">
        <v>34.4</v>
      </c>
      <c r="R9">
        <v>35.6</v>
      </c>
      <c r="S9">
        <v>50</v>
      </c>
      <c r="T9">
        <v>48.8</v>
      </c>
      <c r="U9">
        <v>54.4</v>
      </c>
      <c r="W9" s="1">
        <v>49.4</v>
      </c>
      <c r="X9" s="1">
        <v>35</v>
      </c>
      <c r="Y9">
        <v>29.1</v>
      </c>
      <c r="Z9">
        <v>40.6</v>
      </c>
      <c r="AA9">
        <v>36.200000000000003</v>
      </c>
      <c r="AB9">
        <v>31.9</v>
      </c>
      <c r="AD9">
        <v>33.799999999999997</v>
      </c>
      <c r="AE9" s="1">
        <v>34.4</v>
      </c>
      <c r="AF9">
        <v>26.9</v>
      </c>
      <c r="AG9">
        <v>22.2</v>
      </c>
    </row>
    <row r="10" spans="1:33" x14ac:dyDescent="0.2">
      <c r="A10">
        <v>98.8</v>
      </c>
      <c r="B10">
        <v>98.2</v>
      </c>
      <c r="D10">
        <v>67.400000000000006</v>
      </c>
      <c r="E10">
        <v>84.4</v>
      </c>
      <c r="F10">
        <v>88.1</v>
      </c>
      <c r="G10">
        <v>71.900000000000006</v>
      </c>
      <c r="H10">
        <v>84.4</v>
      </c>
      <c r="I10">
        <v>73</v>
      </c>
      <c r="K10">
        <v>48.1</v>
      </c>
      <c r="L10">
        <v>8.1</v>
      </c>
      <c r="M10">
        <v>50.6</v>
      </c>
      <c r="O10">
        <v>45.6</v>
      </c>
      <c r="P10">
        <v>49.4</v>
      </c>
      <c r="Q10">
        <v>56.9</v>
      </c>
      <c r="R10">
        <v>36.200000000000003</v>
      </c>
      <c r="S10">
        <v>45</v>
      </c>
      <c r="T10">
        <v>38.799999999999997</v>
      </c>
      <c r="U10">
        <v>56.9</v>
      </c>
      <c r="W10" s="1">
        <v>40</v>
      </c>
      <c r="X10" s="1">
        <v>36.6</v>
      </c>
      <c r="Y10">
        <v>25</v>
      </c>
      <c r="Z10">
        <v>38.799999999999997</v>
      </c>
      <c r="AA10">
        <v>35</v>
      </c>
      <c r="AB10">
        <v>36.6</v>
      </c>
      <c r="AD10">
        <v>25.6</v>
      </c>
      <c r="AE10" s="1">
        <v>25</v>
      </c>
      <c r="AF10">
        <v>25.9</v>
      </c>
      <c r="AG10">
        <v>21.9</v>
      </c>
    </row>
    <row r="11" spans="1:33" x14ac:dyDescent="0.2">
      <c r="A11">
        <v>98.8</v>
      </c>
      <c r="B11">
        <v>98.2</v>
      </c>
      <c r="D11">
        <v>89.4</v>
      </c>
      <c r="E11">
        <v>84.7</v>
      </c>
      <c r="F11">
        <v>91.6</v>
      </c>
      <c r="G11">
        <v>73.099999999999994</v>
      </c>
      <c r="H11">
        <v>89.4</v>
      </c>
      <c r="I11">
        <v>89.4</v>
      </c>
      <c r="K11">
        <v>48.1</v>
      </c>
      <c r="L11">
        <v>33.799999999999997</v>
      </c>
      <c r="M11">
        <v>53.1</v>
      </c>
      <c r="O11">
        <v>58.1</v>
      </c>
      <c r="P11">
        <v>38.799999999999997</v>
      </c>
      <c r="Q11">
        <v>56.9</v>
      </c>
      <c r="R11">
        <v>35.6</v>
      </c>
      <c r="S11">
        <v>41.2</v>
      </c>
      <c r="T11">
        <v>35.9</v>
      </c>
      <c r="U11">
        <v>49.7</v>
      </c>
      <c r="W11" s="1">
        <v>21.9</v>
      </c>
      <c r="X11" s="1">
        <v>49.4</v>
      </c>
      <c r="Y11">
        <v>21.9</v>
      </c>
      <c r="Z11">
        <v>37.5</v>
      </c>
      <c r="AA11">
        <v>32.5</v>
      </c>
      <c r="AB11">
        <v>35.299999999999997</v>
      </c>
      <c r="AD11">
        <v>25</v>
      </c>
      <c r="AE11" s="1">
        <v>38.1</v>
      </c>
      <c r="AF11">
        <v>23.4</v>
      </c>
      <c r="AG11">
        <v>30.6</v>
      </c>
    </row>
    <row r="12" spans="1:33" x14ac:dyDescent="0.2">
      <c r="A12">
        <v>98.5</v>
      </c>
      <c r="B12">
        <v>96.1</v>
      </c>
      <c r="D12">
        <v>89.4</v>
      </c>
      <c r="E12">
        <v>84.4</v>
      </c>
      <c r="F12">
        <v>89.4</v>
      </c>
      <c r="G12">
        <v>89.4</v>
      </c>
      <c r="H12">
        <v>86.9</v>
      </c>
      <c r="I12">
        <v>84.4</v>
      </c>
      <c r="K12">
        <v>48.4</v>
      </c>
      <c r="L12">
        <v>33.799999999999997</v>
      </c>
      <c r="M12">
        <v>45.6</v>
      </c>
      <c r="O12">
        <v>49.4</v>
      </c>
      <c r="P12">
        <v>49.4</v>
      </c>
      <c r="Q12">
        <v>48.8</v>
      </c>
      <c r="R12">
        <v>39.1</v>
      </c>
      <c r="S12">
        <v>42.5</v>
      </c>
      <c r="T12">
        <v>50.6</v>
      </c>
      <c r="U12">
        <v>45.6</v>
      </c>
      <c r="W12" s="1">
        <v>37.5</v>
      </c>
      <c r="X12" s="1">
        <v>35.9</v>
      </c>
      <c r="Y12">
        <v>21.9</v>
      </c>
      <c r="Z12">
        <v>36.9</v>
      </c>
      <c r="AA12">
        <v>49.4</v>
      </c>
      <c r="AB12">
        <v>35.299999999999997</v>
      </c>
      <c r="AD12">
        <v>33.799999999999997</v>
      </c>
      <c r="AE12" s="1">
        <v>21.9</v>
      </c>
      <c r="AF12">
        <v>23.1</v>
      </c>
      <c r="AG12">
        <v>23.8</v>
      </c>
    </row>
    <row r="13" spans="1:33" x14ac:dyDescent="0.2">
      <c r="A13">
        <v>96</v>
      </c>
      <c r="B13">
        <v>98.5</v>
      </c>
      <c r="D13">
        <v>89.4</v>
      </c>
      <c r="E13">
        <v>74.099999999999994</v>
      </c>
      <c r="F13">
        <v>83.1</v>
      </c>
      <c r="G13">
        <v>66.900000000000006</v>
      </c>
      <c r="H13">
        <v>71.900000000000006</v>
      </c>
      <c r="I13">
        <v>89.4</v>
      </c>
      <c r="K13">
        <v>48.1</v>
      </c>
      <c r="L13">
        <v>51.2</v>
      </c>
      <c r="M13">
        <v>53.1</v>
      </c>
      <c r="O13">
        <v>88.1</v>
      </c>
      <c r="P13">
        <v>37.5</v>
      </c>
      <c r="Q13">
        <v>23.1</v>
      </c>
      <c r="R13">
        <v>41.2</v>
      </c>
      <c r="S13">
        <v>36.9</v>
      </c>
      <c r="T13">
        <v>40</v>
      </c>
      <c r="U13">
        <v>41.9</v>
      </c>
      <c r="W13" s="1">
        <v>39.4</v>
      </c>
      <c r="X13" s="1">
        <v>48.8</v>
      </c>
      <c r="Y13">
        <v>24.4</v>
      </c>
      <c r="Z13">
        <v>39.4</v>
      </c>
      <c r="AA13">
        <v>24.1</v>
      </c>
      <c r="AB13">
        <v>33.799999999999997</v>
      </c>
      <c r="AD13">
        <v>21.9</v>
      </c>
      <c r="AE13" s="1">
        <v>26.9</v>
      </c>
      <c r="AF13">
        <v>23.8</v>
      </c>
      <c r="AG13">
        <v>22.5</v>
      </c>
    </row>
    <row r="14" spans="1:33" x14ac:dyDescent="0.2">
      <c r="A14">
        <v>98.2</v>
      </c>
      <c r="B14">
        <v>98.2</v>
      </c>
      <c r="D14">
        <v>89.2</v>
      </c>
      <c r="E14">
        <v>89.4</v>
      </c>
      <c r="F14">
        <v>84.4</v>
      </c>
      <c r="G14">
        <v>72.5</v>
      </c>
      <c r="H14">
        <v>72.7</v>
      </c>
      <c r="I14">
        <v>91.2</v>
      </c>
      <c r="K14">
        <v>50.3</v>
      </c>
      <c r="L14">
        <v>53.8</v>
      </c>
      <c r="M14">
        <v>59.4</v>
      </c>
      <c r="O14">
        <v>38.4</v>
      </c>
      <c r="P14">
        <v>39.700000000000003</v>
      </c>
      <c r="Q14">
        <v>36.6</v>
      </c>
      <c r="R14">
        <v>35.299999999999997</v>
      </c>
      <c r="S14">
        <v>40.6</v>
      </c>
      <c r="T14">
        <v>49.4</v>
      </c>
      <c r="U14">
        <v>88.1</v>
      </c>
      <c r="W14" s="1">
        <v>35.6</v>
      </c>
      <c r="X14" s="1">
        <v>35.9</v>
      </c>
      <c r="Y14">
        <v>21.9</v>
      </c>
      <c r="Z14">
        <v>36.200000000000003</v>
      </c>
      <c r="AA14">
        <v>36.200000000000003</v>
      </c>
      <c r="AB14">
        <v>37.200000000000003</v>
      </c>
      <c r="AD14">
        <v>33.799999999999997</v>
      </c>
      <c r="AE14" s="1">
        <v>34.1</v>
      </c>
      <c r="AF14">
        <v>31.9</v>
      </c>
      <c r="AG14">
        <v>33.799999999999997</v>
      </c>
    </row>
    <row r="15" spans="1:33" x14ac:dyDescent="0.2">
      <c r="A15">
        <v>98.2</v>
      </c>
      <c r="B15">
        <v>98.2</v>
      </c>
      <c r="D15">
        <v>89.2</v>
      </c>
      <c r="E15">
        <v>68.099999999999994</v>
      </c>
      <c r="F15">
        <v>68.099999999999994</v>
      </c>
      <c r="G15">
        <v>72.2</v>
      </c>
      <c r="H15">
        <v>84.2</v>
      </c>
      <c r="I15">
        <v>89.4</v>
      </c>
      <c r="K15">
        <v>45.6</v>
      </c>
      <c r="L15">
        <v>28.8</v>
      </c>
      <c r="M15">
        <v>78.099999999999994</v>
      </c>
      <c r="O15">
        <v>38.799999999999997</v>
      </c>
      <c r="P15">
        <v>47.2</v>
      </c>
      <c r="Q15">
        <v>51.2</v>
      </c>
      <c r="R15">
        <v>41.2</v>
      </c>
      <c r="S15">
        <v>41.6</v>
      </c>
      <c r="T15">
        <v>45</v>
      </c>
      <c r="U15">
        <v>39.1</v>
      </c>
      <c r="W15" s="1">
        <v>48.8</v>
      </c>
      <c r="X15" s="1">
        <v>35</v>
      </c>
      <c r="Y15">
        <v>22.5</v>
      </c>
      <c r="Z15">
        <v>50.6</v>
      </c>
      <c r="AA15">
        <v>35.299999999999997</v>
      </c>
      <c r="AB15">
        <v>35</v>
      </c>
      <c r="AD15">
        <v>22.5</v>
      </c>
      <c r="AE15" s="1">
        <v>34.4</v>
      </c>
      <c r="AF15">
        <v>33.799999999999997</v>
      </c>
      <c r="AG15">
        <v>22.5</v>
      </c>
    </row>
    <row r="16" spans="1:33" x14ac:dyDescent="0.2">
      <c r="A16">
        <v>98.2</v>
      </c>
      <c r="B16">
        <v>98.2</v>
      </c>
      <c r="D16">
        <v>82.5</v>
      </c>
      <c r="E16">
        <v>93.8</v>
      </c>
      <c r="F16">
        <v>68.099999999999994</v>
      </c>
      <c r="G16">
        <v>66.900000000000006</v>
      </c>
      <c r="H16">
        <v>72.5</v>
      </c>
      <c r="I16">
        <v>91.2</v>
      </c>
      <c r="K16">
        <v>53.1</v>
      </c>
      <c r="L16">
        <v>60.3</v>
      </c>
      <c r="M16">
        <v>53.4</v>
      </c>
      <c r="O16">
        <v>45</v>
      </c>
      <c r="P16">
        <v>39.1</v>
      </c>
      <c r="Q16">
        <v>30.9</v>
      </c>
      <c r="R16">
        <v>49.4</v>
      </c>
      <c r="S16">
        <v>49.4</v>
      </c>
      <c r="T16">
        <v>48.8</v>
      </c>
      <c r="U16">
        <v>54.4</v>
      </c>
      <c r="W16" s="1">
        <v>49.4</v>
      </c>
      <c r="X16" s="1">
        <v>37.200000000000003</v>
      </c>
      <c r="Y16">
        <v>35</v>
      </c>
      <c r="Z16">
        <v>39.1</v>
      </c>
      <c r="AA16">
        <v>35</v>
      </c>
      <c r="AB16">
        <v>35.6</v>
      </c>
      <c r="AD16">
        <v>22.2</v>
      </c>
      <c r="AE16" s="1">
        <v>33.799999999999997</v>
      </c>
      <c r="AF16">
        <v>26.9</v>
      </c>
      <c r="AG16">
        <v>21.9</v>
      </c>
    </row>
    <row r="17" spans="1:33" x14ac:dyDescent="0.2">
      <c r="A17">
        <v>98.8</v>
      </c>
      <c r="B17">
        <v>98.2</v>
      </c>
      <c r="D17">
        <v>91.2</v>
      </c>
      <c r="E17">
        <v>81.900000000000006</v>
      </c>
      <c r="F17">
        <v>89.4</v>
      </c>
      <c r="G17">
        <v>71.2</v>
      </c>
      <c r="H17">
        <v>89.4</v>
      </c>
      <c r="I17">
        <v>72.400000000000006</v>
      </c>
      <c r="K17">
        <v>48.1</v>
      </c>
      <c r="L17">
        <v>48.1</v>
      </c>
      <c r="M17">
        <v>52.5</v>
      </c>
      <c r="O17">
        <v>38.799999999999997</v>
      </c>
      <c r="P17">
        <v>38.799999999999997</v>
      </c>
      <c r="Q17">
        <v>49.4</v>
      </c>
      <c r="R17">
        <v>48.8</v>
      </c>
      <c r="S17">
        <v>38.799999999999997</v>
      </c>
      <c r="T17">
        <v>50</v>
      </c>
      <c r="U17">
        <v>50.3</v>
      </c>
      <c r="W17" s="1">
        <v>34.4</v>
      </c>
      <c r="X17" s="1">
        <v>35</v>
      </c>
      <c r="Y17">
        <v>25.9</v>
      </c>
      <c r="Z17">
        <v>48.8</v>
      </c>
      <c r="AA17">
        <v>36.9</v>
      </c>
      <c r="AB17">
        <v>35</v>
      </c>
      <c r="AD17">
        <v>22.2</v>
      </c>
      <c r="AE17" s="1">
        <v>32.799999999999997</v>
      </c>
      <c r="AF17">
        <v>34.4</v>
      </c>
      <c r="AG17">
        <v>22.5</v>
      </c>
    </row>
    <row r="18" spans="1:33" x14ac:dyDescent="0.2">
      <c r="A18">
        <v>96.1</v>
      </c>
      <c r="B18">
        <v>98.8</v>
      </c>
      <c r="D18">
        <v>74.400000000000006</v>
      </c>
      <c r="E18">
        <v>89.4</v>
      </c>
      <c r="F18">
        <v>89.4</v>
      </c>
      <c r="G18">
        <v>89.4</v>
      </c>
      <c r="H18">
        <v>89.4</v>
      </c>
      <c r="I18">
        <v>84.4</v>
      </c>
      <c r="K18">
        <v>56.9</v>
      </c>
      <c r="L18">
        <v>45.6</v>
      </c>
      <c r="M18">
        <v>54.1</v>
      </c>
      <c r="O18">
        <v>57.5</v>
      </c>
      <c r="P18">
        <v>47.2</v>
      </c>
      <c r="Q18">
        <v>35.299999999999997</v>
      </c>
      <c r="R18">
        <v>33.799999999999997</v>
      </c>
      <c r="S18">
        <v>58.8</v>
      </c>
      <c r="T18">
        <v>57.2</v>
      </c>
      <c r="U18">
        <v>55.6</v>
      </c>
      <c r="W18" s="1">
        <v>38.4</v>
      </c>
      <c r="X18" s="1">
        <v>35</v>
      </c>
      <c r="Y18">
        <v>22.2</v>
      </c>
      <c r="Z18">
        <v>48.8</v>
      </c>
      <c r="AA18">
        <v>47.8</v>
      </c>
      <c r="AB18">
        <v>36.200000000000003</v>
      </c>
      <c r="AD18">
        <v>21.9</v>
      </c>
      <c r="AE18" s="1">
        <v>33.799999999999997</v>
      </c>
      <c r="AF18">
        <v>23.8</v>
      </c>
      <c r="AG18">
        <v>25</v>
      </c>
    </row>
    <row r="19" spans="1:33" x14ac:dyDescent="0.2">
      <c r="A19">
        <v>98.2</v>
      </c>
      <c r="B19">
        <v>98.2</v>
      </c>
      <c r="D19">
        <v>83.1</v>
      </c>
      <c r="E19">
        <v>89.4</v>
      </c>
      <c r="F19">
        <v>89.2</v>
      </c>
      <c r="G19">
        <v>89.2</v>
      </c>
      <c r="H19">
        <v>89.4</v>
      </c>
      <c r="I19">
        <v>67.400000000000006</v>
      </c>
      <c r="K19">
        <v>50.9</v>
      </c>
      <c r="L19">
        <v>33.799999999999997</v>
      </c>
      <c r="M19">
        <v>50.3</v>
      </c>
      <c r="O19">
        <v>49.4</v>
      </c>
      <c r="P19">
        <v>38.799999999999997</v>
      </c>
      <c r="Q19">
        <v>51.9</v>
      </c>
      <c r="R19">
        <v>43.1</v>
      </c>
      <c r="S19">
        <v>49.4</v>
      </c>
      <c r="T19">
        <v>50.6</v>
      </c>
      <c r="U19">
        <v>56.9</v>
      </c>
      <c r="W19" s="1">
        <v>39.4</v>
      </c>
      <c r="X19" s="1">
        <v>35</v>
      </c>
      <c r="Y19">
        <v>35</v>
      </c>
      <c r="Z19">
        <v>37.200000000000003</v>
      </c>
      <c r="AA19">
        <v>35.299999999999997</v>
      </c>
      <c r="AB19">
        <v>36.6</v>
      </c>
      <c r="AD19">
        <v>33.799999999999997</v>
      </c>
      <c r="AE19" s="1">
        <v>34.4</v>
      </c>
      <c r="AF19">
        <v>34.700000000000003</v>
      </c>
      <c r="AG19">
        <v>22.2</v>
      </c>
    </row>
    <row r="20" spans="1:33" x14ac:dyDescent="0.2">
      <c r="A20">
        <v>91.6</v>
      </c>
      <c r="B20">
        <v>98.5</v>
      </c>
      <c r="D20">
        <v>89.4</v>
      </c>
      <c r="E20">
        <v>73.099999999999994</v>
      </c>
      <c r="F20">
        <v>86.9</v>
      </c>
      <c r="G20">
        <v>70.599999999999994</v>
      </c>
      <c r="H20">
        <v>89.4</v>
      </c>
      <c r="I20">
        <v>63.8</v>
      </c>
      <c r="K20">
        <v>48.1</v>
      </c>
      <c r="L20">
        <v>34.1</v>
      </c>
      <c r="M20">
        <v>60.6</v>
      </c>
      <c r="O20">
        <v>50</v>
      </c>
      <c r="P20">
        <v>50</v>
      </c>
      <c r="Q20">
        <v>50.6</v>
      </c>
      <c r="R20">
        <v>48.8</v>
      </c>
      <c r="S20">
        <v>40.6</v>
      </c>
      <c r="T20">
        <v>43.1</v>
      </c>
      <c r="U20">
        <v>49.7</v>
      </c>
      <c r="W20" s="1">
        <v>32.5</v>
      </c>
      <c r="X20" s="1">
        <v>37.5</v>
      </c>
      <c r="Y20">
        <v>24.7</v>
      </c>
      <c r="Z20">
        <v>48.8</v>
      </c>
      <c r="AA20">
        <v>36.200000000000003</v>
      </c>
      <c r="AB20">
        <v>29.4</v>
      </c>
      <c r="AD20">
        <v>23.8</v>
      </c>
      <c r="AE20" s="1">
        <v>25.9</v>
      </c>
      <c r="AF20">
        <v>35</v>
      </c>
      <c r="AG20">
        <v>24.7</v>
      </c>
    </row>
    <row r="21" spans="1:33" x14ac:dyDescent="0.2">
      <c r="A21">
        <v>98.1</v>
      </c>
      <c r="B21">
        <v>98.2</v>
      </c>
      <c r="D21">
        <v>84.4</v>
      </c>
      <c r="E21">
        <v>84.4</v>
      </c>
      <c r="F21">
        <v>86.9</v>
      </c>
      <c r="G21">
        <v>84.4</v>
      </c>
      <c r="H21">
        <v>89.2</v>
      </c>
      <c r="I21">
        <v>71.599999999999994</v>
      </c>
      <c r="K21">
        <v>48.1</v>
      </c>
      <c r="L21">
        <v>33.799999999999997</v>
      </c>
      <c r="M21">
        <v>53.1</v>
      </c>
      <c r="O21">
        <v>50</v>
      </c>
      <c r="P21">
        <v>39.1</v>
      </c>
      <c r="Q21">
        <v>49.4</v>
      </c>
      <c r="R21">
        <v>41.9</v>
      </c>
      <c r="S21">
        <v>41.2</v>
      </c>
      <c r="T21">
        <v>54.4</v>
      </c>
      <c r="U21">
        <v>56.9</v>
      </c>
      <c r="W21" s="1">
        <v>36.200000000000003</v>
      </c>
      <c r="X21" s="1">
        <v>35</v>
      </c>
      <c r="Y21">
        <v>23.8</v>
      </c>
      <c r="Z21">
        <v>39.4</v>
      </c>
      <c r="AA21">
        <v>35</v>
      </c>
      <c r="AB21">
        <v>32.5</v>
      </c>
      <c r="AD21">
        <v>34.1</v>
      </c>
      <c r="AE21" s="1">
        <v>33.799999999999997</v>
      </c>
      <c r="AF21">
        <v>23.1</v>
      </c>
      <c r="AG21">
        <v>31.9</v>
      </c>
    </row>
    <row r="23" spans="1:33" x14ac:dyDescent="0.2">
      <c r="A23">
        <f>AVERAGE(A2:A21)</f>
        <v>97.634999999999991</v>
      </c>
      <c r="B23">
        <f>AVERAGE(B2:B21)</f>
        <v>98.015000000000015</v>
      </c>
      <c r="D23">
        <f t="shared" ref="D23:I23" si="0">AVERAGE(D2:D21)</f>
        <v>83.715000000000003</v>
      </c>
      <c r="E23">
        <f t="shared" si="0"/>
        <v>81.280000000000015</v>
      </c>
      <c r="F23">
        <f t="shared" si="0"/>
        <v>85.215000000000018</v>
      </c>
      <c r="G23">
        <f t="shared" si="0"/>
        <v>77.045000000000002</v>
      </c>
      <c r="H23">
        <f t="shared" si="0"/>
        <v>81.990000000000023</v>
      </c>
      <c r="I23">
        <f t="shared" si="0"/>
        <v>82.240000000000009</v>
      </c>
      <c r="K23">
        <f>AVERAGE(K2:K21)</f>
        <v>49.595000000000006</v>
      </c>
      <c r="L23">
        <f>AVERAGE(L2:L21)</f>
        <v>41.809999999999988</v>
      </c>
      <c r="M23">
        <f t="shared" ref="M23" si="1">AVERAGE(M2:M21)</f>
        <v>55</v>
      </c>
      <c r="O23">
        <f>AVERAGE(O2:O21)</f>
        <v>49.604999999999997</v>
      </c>
      <c r="P23">
        <f t="shared" ref="P23:R23" si="2">AVERAGE(P2:P21)</f>
        <v>43.56</v>
      </c>
      <c r="Q23">
        <f t="shared" ref="Q23" si="3">AVERAGE(Q2:Q21)</f>
        <v>44.519999999999996</v>
      </c>
      <c r="R23">
        <f t="shared" si="2"/>
        <v>39.64</v>
      </c>
      <c r="S23">
        <f>AVERAGE(S2:S21)</f>
        <v>42.864999999999995</v>
      </c>
      <c r="T23">
        <f>AVERAGE(T2:T21)</f>
        <v>46.59</v>
      </c>
      <c r="U23">
        <f t="shared" ref="U23" si="4">AVERAGE(U2:U21)</f>
        <v>53.385000000000005</v>
      </c>
      <c r="W23">
        <f>AVERAGE(W2:W21)</f>
        <v>38.929999999999993</v>
      </c>
      <c r="X23">
        <f>AVERAGE(X2:X21)</f>
        <v>38.405000000000001</v>
      </c>
      <c r="Y23">
        <f>AVERAGE(Y2:Y21)</f>
        <v>27.149999999999995</v>
      </c>
      <c r="Z23">
        <f t="shared" ref="Z23:AA23" si="5">AVERAGE(Z2:Z21)</f>
        <v>43.404999999999994</v>
      </c>
      <c r="AA23">
        <f t="shared" si="5"/>
        <v>35.86</v>
      </c>
      <c r="AB23">
        <f>AVERAGE(AB2:AB21)</f>
        <v>33.820000000000007</v>
      </c>
      <c r="AD23">
        <f>AVERAGE(AD2:AD21)</f>
        <v>27.369999999999997</v>
      </c>
      <c r="AE23">
        <f>AVERAGE(AE2:AE21)</f>
        <v>32.349999999999987</v>
      </c>
      <c r="AF23">
        <f t="shared" ref="AF23:AG23" si="6">AVERAGE(AF2:AF21)</f>
        <v>28.639999999999997</v>
      </c>
      <c r="AG23">
        <f t="shared" si="6"/>
        <v>24.684999999999995</v>
      </c>
    </row>
    <row r="25" spans="1:33" x14ac:dyDescent="0.2">
      <c r="A25">
        <f>_xlfn.QUARTILE.INC(A2:A21,1)</f>
        <v>97.875</v>
      </c>
      <c r="B25">
        <f>_xlfn.QUARTILE.INC(B2:B21,1)</f>
        <v>98.2</v>
      </c>
      <c r="D25">
        <f t="shared" ref="D25:I25" si="7">_xlfn.QUARTILE.INC(D2:D21,1)</f>
        <v>80.474999999999994</v>
      </c>
      <c r="E25">
        <f t="shared" si="7"/>
        <v>73.849999999999994</v>
      </c>
      <c r="F25">
        <f t="shared" si="7"/>
        <v>84.075000000000003</v>
      </c>
      <c r="G25">
        <f t="shared" si="7"/>
        <v>71.05</v>
      </c>
      <c r="H25">
        <f t="shared" si="7"/>
        <v>72.650000000000006</v>
      </c>
      <c r="I25">
        <f t="shared" si="7"/>
        <v>72.849999999999994</v>
      </c>
      <c r="K25">
        <f>_xlfn.QUARTILE.INC(K2:K21,1)</f>
        <v>48.1</v>
      </c>
      <c r="L25">
        <f>_xlfn.QUARTILE.INC(L2:L21,1)</f>
        <v>33.799999999999997</v>
      </c>
      <c r="M25">
        <f t="shared" ref="M25" si="8">_xlfn.QUARTILE.INC(M2:M21,1)</f>
        <v>52.024999999999999</v>
      </c>
      <c r="O25">
        <f>_xlfn.QUARTILE.INC(O2:O21,1)</f>
        <v>44.774999999999999</v>
      </c>
      <c r="P25">
        <f t="shared" ref="P25:R25" si="9">_xlfn.QUARTILE.INC(P2:P21,1)</f>
        <v>38.799999999999997</v>
      </c>
      <c r="Q25">
        <f t="shared" ref="Q25" si="10">_xlfn.QUARTILE.INC(Q2:Q21,1)</f>
        <v>36.825000000000003</v>
      </c>
      <c r="R25">
        <f t="shared" si="9"/>
        <v>35.524999999999999</v>
      </c>
      <c r="S25">
        <f>_xlfn.QUARTILE.INC(S2:S21,1)</f>
        <v>39.25</v>
      </c>
      <c r="T25">
        <f>_xlfn.QUARTILE.INC(T2:T21,1)</f>
        <v>39.700000000000003</v>
      </c>
      <c r="U25">
        <f t="shared" ref="U25" si="11">_xlfn.QUARTILE.INC(U2:U21,1)</f>
        <v>49.4</v>
      </c>
      <c r="W25">
        <f>_xlfn.QUARTILE.INC(W2:W21,1)</f>
        <v>35.6</v>
      </c>
      <c r="X25">
        <f>_xlfn.QUARTILE.INC(X2:X21,1)</f>
        <v>35</v>
      </c>
      <c r="Y25">
        <f>_xlfn.QUARTILE.INC(Y2:Y21,1)</f>
        <v>22.425000000000001</v>
      </c>
      <c r="Z25">
        <f t="shared" ref="Z25:AA25" si="12">_xlfn.QUARTILE.INC(Z2:Z21,1)</f>
        <v>39.024999999999999</v>
      </c>
      <c r="AA25">
        <f t="shared" si="12"/>
        <v>35</v>
      </c>
      <c r="AB25">
        <f>_xlfn.QUARTILE.INC(AB2:AB21,1)</f>
        <v>32.5</v>
      </c>
      <c r="AD25">
        <f>_xlfn.QUARTILE.INC(AD2:AD21,1)</f>
        <v>22.425000000000001</v>
      </c>
      <c r="AE25">
        <f>_xlfn.QUARTILE.INC(AE2:AE21,1)</f>
        <v>33.25</v>
      </c>
      <c r="AF25">
        <f t="shared" ref="AF25:AG25" si="13">_xlfn.QUARTILE.INC(AF2:AF21,1)</f>
        <v>23.8</v>
      </c>
      <c r="AG25">
        <f t="shared" si="13"/>
        <v>22.2</v>
      </c>
    </row>
    <row r="26" spans="1:33" x14ac:dyDescent="0.2">
      <c r="A26">
        <f>_xlfn.QUARTILE.INC(A2:A21,2)</f>
        <v>98.2</v>
      </c>
      <c r="B26">
        <f>_xlfn.QUARTILE.INC(B2:B21,2)</f>
        <v>98.2</v>
      </c>
      <c r="D26">
        <f t="shared" ref="D26:I26" si="14">_xlfn.QUARTILE.INC(D2:D21,2)</f>
        <v>89.2</v>
      </c>
      <c r="E26">
        <f t="shared" si="14"/>
        <v>84.4</v>
      </c>
      <c r="F26">
        <f t="shared" si="14"/>
        <v>89.300000000000011</v>
      </c>
      <c r="G26">
        <f t="shared" si="14"/>
        <v>72.8</v>
      </c>
      <c r="H26">
        <f t="shared" si="14"/>
        <v>88.050000000000011</v>
      </c>
      <c r="I26">
        <f t="shared" si="14"/>
        <v>86.9</v>
      </c>
      <c r="K26">
        <f>_xlfn.QUARTILE.INC(K2:K21,2)</f>
        <v>48.25</v>
      </c>
      <c r="L26">
        <f>_xlfn.QUARTILE.INC(L2:L21,2)</f>
        <v>46.25</v>
      </c>
      <c r="M26">
        <f t="shared" ref="M26" si="15">_xlfn.QUARTILE.INC(M2:M21,2)</f>
        <v>53.1</v>
      </c>
      <c r="O26">
        <f>_xlfn.QUARTILE.INC(O2:O21,2)</f>
        <v>49.4</v>
      </c>
      <c r="P26">
        <f t="shared" ref="P26:R26" si="16">_xlfn.QUARTILE.INC(P2:P21,2)</f>
        <v>40.150000000000006</v>
      </c>
      <c r="Q26">
        <f t="shared" ref="Q26" si="17">_xlfn.QUARTILE.INC(Q2:Q21,2)</f>
        <v>49.099999999999994</v>
      </c>
      <c r="R26">
        <f t="shared" si="16"/>
        <v>38.25</v>
      </c>
      <c r="S26">
        <f>_xlfn.QUARTILE.INC(S2:S21,2)</f>
        <v>41.2</v>
      </c>
      <c r="T26">
        <f>_xlfn.QUARTILE.INC(T2:T21,2)</f>
        <v>48.8</v>
      </c>
      <c r="U26">
        <f t="shared" ref="U26" si="18">_xlfn.QUARTILE.INC(U2:U21,2)</f>
        <v>52.349999999999994</v>
      </c>
      <c r="W26">
        <f>_xlfn.QUARTILE.INC(W2:W21,2)</f>
        <v>37.5</v>
      </c>
      <c r="X26">
        <f>_xlfn.QUARTILE.INC(X2:X21,2)</f>
        <v>35.9</v>
      </c>
      <c r="Y26">
        <f>_xlfn.QUARTILE.INC(Y2:Y21,2)</f>
        <v>24.85</v>
      </c>
      <c r="Z26">
        <f t="shared" ref="Z26:AA26" si="19">_xlfn.QUARTILE.INC(Z2:Z21,2)</f>
        <v>40.15</v>
      </c>
      <c r="AA26">
        <f t="shared" si="19"/>
        <v>35.599999999999994</v>
      </c>
      <c r="AB26">
        <f>_xlfn.QUARTILE.INC(AB2:AB21,2)</f>
        <v>35</v>
      </c>
      <c r="AD26">
        <f>_xlfn.QUARTILE.INC(AD2:AD21,2)</f>
        <v>24.55</v>
      </c>
      <c r="AE26">
        <f>_xlfn.QUARTILE.INC(AE2:AE21,2)</f>
        <v>33.799999999999997</v>
      </c>
      <c r="AF26">
        <f t="shared" ref="AF26:AG26" si="20">_xlfn.QUARTILE.INC(AF2:AF21,2)</f>
        <v>26.9</v>
      </c>
      <c r="AG26">
        <f t="shared" si="20"/>
        <v>22.5</v>
      </c>
    </row>
    <row r="27" spans="1:33" x14ac:dyDescent="0.2">
      <c r="A27">
        <f>_xlfn.QUARTILE.INC(A2:A21,3)</f>
        <v>98.5</v>
      </c>
      <c r="B27">
        <f>_xlfn.QUARTILE.INC(B2:B21,3)</f>
        <v>98.2</v>
      </c>
      <c r="D27">
        <f t="shared" ref="D27:I27" si="21">_xlfn.QUARTILE.INC(D2:D21,3)</f>
        <v>89.4</v>
      </c>
      <c r="E27">
        <f t="shared" si="21"/>
        <v>89.4</v>
      </c>
      <c r="F27">
        <f t="shared" si="21"/>
        <v>89.4</v>
      </c>
      <c r="G27">
        <f t="shared" si="21"/>
        <v>89.25</v>
      </c>
      <c r="H27">
        <f t="shared" si="21"/>
        <v>89.4</v>
      </c>
      <c r="I27">
        <f t="shared" si="21"/>
        <v>89.4</v>
      </c>
      <c r="K27">
        <f>_xlfn.QUARTILE.INC(K2:K21,3)</f>
        <v>51.375</v>
      </c>
      <c r="L27">
        <f>_xlfn.QUARTILE.INC(L2:L21,3)</f>
        <v>50.75</v>
      </c>
      <c r="M27">
        <f t="shared" ref="M27" si="22">_xlfn.QUARTILE.INC(M2:M21,3)</f>
        <v>58.424999999999997</v>
      </c>
      <c r="O27">
        <f>_xlfn.QUARTILE.INC(O2:O21,3)</f>
        <v>50</v>
      </c>
      <c r="P27">
        <f t="shared" ref="P27:R27" si="23">_xlfn.QUARTILE.INC(P2:P21,3)</f>
        <v>49.4</v>
      </c>
      <c r="Q27">
        <f t="shared" ref="Q27" si="24">_xlfn.QUARTILE.INC(Q2:Q21,3)</f>
        <v>51.375</v>
      </c>
      <c r="R27">
        <f t="shared" si="23"/>
        <v>42.2</v>
      </c>
      <c r="S27">
        <f>_xlfn.QUARTILE.INC(S2:S21,3)</f>
        <v>46.1</v>
      </c>
      <c r="T27">
        <f>_xlfn.QUARTILE.INC(T2:T21,3)</f>
        <v>50.15</v>
      </c>
      <c r="U27">
        <f t="shared" ref="U27" si="25">_xlfn.QUARTILE.INC(U2:U21,3)</f>
        <v>56.9</v>
      </c>
      <c r="W27">
        <f>_xlfn.QUARTILE.INC(W2:W21,3)</f>
        <v>41.875</v>
      </c>
      <c r="X27">
        <f>_xlfn.QUARTILE.INC(X2:X21,3)</f>
        <v>37.275000000000006</v>
      </c>
      <c r="Y27">
        <f>_xlfn.QUARTILE.INC(Y2:Y21,3)</f>
        <v>34.549999999999997</v>
      </c>
      <c r="Z27">
        <f t="shared" ref="Z27:AA27" si="26">_xlfn.QUARTILE.INC(Z2:Z21,3)</f>
        <v>48.8</v>
      </c>
      <c r="AA27">
        <f t="shared" si="26"/>
        <v>36.200000000000003</v>
      </c>
      <c r="AB27">
        <f>_xlfn.QUARTILE.INC(AB2:AB21,3)</f>
        <v>35.674999999999997</v>
      </c>
      <c r="AD27">
        <f>_xlfn.QUARTILE.INC(AD2:AD21,3)</f>
        <v>33.799999999999997</v>
      </c>
      <c r="AE27">
        <f>_xlfn.QUARTILE.INC(AE2:AE21,3)</f>
        <v>34.4</v>
      </c>
      <c r="AF27">
        <f t="shared" ref="AF27:AG27" si="27">_xlfn.QUARTILE.INC(AF2:AF21,3)</f>
        <v>33.799999999999997</v>
      </c>
      <c r="AG27">
        <f t="shared" si="27"/>
        <v>24.774999999999999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32CD-929A-484C-9CF0-36E8F3817C11}">
  <dimension ref="A1:AG27"/>
  <sheetViews>
    <sheetView workbookViewId="0">
      <selection activeCell="L42" sqref="L41:L42"/>
    </sheetView>
  </sheetViews>
  <sheetFormatPr baseColWidth="10" defaultColWidth="10.6640625" defaultRowHeight="16" x14ac:dyDescent="0.2"/>
  <cols>
    <col min="3" max="3" width="2.33203125" style="2" customWidth="1"/>
    <col min="10" max="10" width="2.33203125" style="2" customWidth="1"/>
    <col min="14" max="14" width="2.33203125" style="2" customWidth="1"/>
    <col min="22" max="22" width="2.33203125" style="2" customWidth="1"/>
    <col min="29" max="29" width="2.33203125" style="2" customWidth="1"/>
  </cols>
  <sheetData>
    <row r="1" spans="1:33" x14ac:dyDescent="0.2">
      <c r="A1" t="s">
        <v>0</v>
      </c>
      <c r="B1" t="s">
        <v>6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K1" t="s">
        <v>11</v>
      </c>
      <c r="L1" t="s">
        <v>28</v>
      </c>
      <c r="M1" t="s">
        <v>10</v>
      </c>
      <c r="O1" t="s">
        <v>1</v>
      </c>
      <c r="P1" t="s">
        <v>29</v>
      </c>
      <c r="Q1" t="s">
        <v>32</v>
      </c>
      <c r="R1" t="s">
        <v>30</v>
      </c>
      <c r="S1" t="s">
        <v>9</v>
      </c>
      <c r="T1" t="s">
        <v>4</v>
      </c>
      <c r="U1" t="s">
        <v>5</v>
      </c>
      <c r="W1" t="s">
        <v>18</v>
      </c>
      <c r="X1" t="s">
        <v>8</v>
      </c>
      <c r="Y1" t="s">
        <v>21</v>
      </c>
      <c r="Z1" t="s">
        <v>20</v>
      </c>
      <c r="AA1" t="s">
        <v>7</v>
      </c>
      <c r="AB1" t="s">
        <v>19</v>
      </c>
      <c r="AD1" t="s">
        <v>2</v>
      </c>
      <c r="AE1" t="s">
        <v>3</v>
      </c>
      <c r="AF1" t="s">
        <v>22</v>
      </c>
      <c r="AG1" t="s">
        <v>31</v>
      </c>
    </row>
    <row r="2" spans="1:33" x14ac:dyDescent="0.2">
      <c r="A2">
        <v>83.1</v>
      </c>
      <c r="B2">
        <v>93.8</v>
      </c>
      <c r="D2">
        <v>97.1</v>
      </c>
      <c r="E2">
        <v>84.4</v>
      </c>
      <c r="F2">
        <v>96</v>
      </c>
      <c r="G2">
        <v>89.6</v>
      </c>
      <c r="H2">
        <v>54.4</v>
      </c>
      <c r="I2">
        <v>95.9</v>
      </c>
      <c r="K2">
        <v>44.4</v>
      </c>
      <c r="L2">
        <v>46.9</v>
      </c>
      <c r="M2">
        <v>52.5</v>
      </c>
      <c r="O2">
        <v>46.9</v>
      </c>
      <c r="P2">
        <v>46.9</v>
      </c>
      <c r="Q2">
        <v>52.5</v>
      </c>
      <c r="R2">
        <v>41.6</v>
      </c>
      <c r="S2">
        <v>46.9</v>
      </c>
      <c r="T2">
        <v>42.5</v>
      </c>
      <c r="U2">
        <v>45.9</v>
      </c>
      <c r="W2">
        <v>44.7</v>
      </c>
      <c r="X2">
        <v>46.9</v>
      </c>
      <c r="Y2">
        <v>33.4</v>
      </c>
      <c r="Z2">
        <v>41.6</v>
      </c>
      <c r="AA2">
        <v>40.6</v>
      </c>
      <c r="AB2">
        <v>40.9</v>
      </c>
      <c r="AD2">
        <v>41.6</v>
      </c>
      <c r="AE2">
        <v>31.6</v>
      </c>
      <c r="AF2">
        <v>33.4</v>
      </c>
      <c r="AG2">
        <v>41.6</v>
      </c>
    </row>
    <row r="3" spans="1:33" x14ac:dyDescent="0.2">
      <c r="A3">
        <v>95.9</v>
      </c>
      <c r="B3">
        <v>93.7</v>
      </c>
      <c r="D3">
        <v>93.7</v>
      </c>
      <c r="E3">
        <v>63.8</v>
      </c>
      <c r="F3">
        <v>88.2</v>
      </c>
      <c r="G3">
        <v>68.099999999999994</v>
      </c>
      <c r="H3">
        <v>52.5</v>
      </c>
      <c r="I3">
        <v>93.7</v>
      </c>
      <c r="K3">
        <v>46.9</v>
      </c>
      <c r="L3">
        <v>46.6</v>
      </c>
      <c r="M3">
        <v>47.8</v>
      </c>
      <c r="O3">
        <v>45.3</v>
      </c>
      <c r="P3">
        <v>46.2</v>
      </c>
      <c r="Q3">
        <v>52.5</v>
      </c>
      <c r="R3">
        <v>41.2</v>
      </c>
      <c r="S3">
        <v>46.9</v>
      </c>
      <c r="T3">
        <v>46.9</v>
      </c>
      <c r="U3">
        <v>45.9</v>
      </c>
      <c r="W3">
        <v>43.1</v>
      </c>
      <c r="X3">
        <v>45.6</v>
      </c>
      <c r="Y3">
        <v>32.5</v>
      </c>
      <c r="Z3">
        <v>42.5</v>
      </c>
      <c r="AA3">
        <v>42.5</v>
      </c>
      <c r="AB3">
        <v>41.6</v>
      </c>
      <c r="AD3">
        <v>43.8</v>
      </c>
      <c r="AE3">
        <v>41.6</v>
      </c>
      <c r="AF3">
        <v>40.6</v>
      </c>
      <c r="AG3">
        <v>31.9</v>
      </c>
    </row>
    <row r="4" spans="1:33" x14ac:dyDescent="0.2">
      <c r="A4">
        <v>98.1</v>
      </c>
      <c r="B4">
        <v>69.400000000000006</v>
      </c>
      <c r="D4">
        <v>82.9</v>
      </c>
      <c r="E4">
        <v>93.8</v>
      </c>
      <c r="F4">
        <v>85</v>
      </c>
      <c r="G4">
        <v>56.2</v>
      </c>
      <c r="H4">
        <v>35.299999999999997</v>
      </c>
      <c r="I4">
        <v>95.4</v>
      </c>
      <c r="K4">
        <v>46.9</v>
      </c>
      <c r="L4">
        <v>12.5</v>
      </c>
      <c r="M4">
        <v>52.5</v>
      </c>
      <c r="O4">
        <v>46.9</v>
      </c>
      <c r="P4">
        <v>44.4</v>
      </c>
      <c r="Q4">
        <v>45.3</v>
      </c>
      <c r="R4">
        <v>40.6</v>
      </c>
      <c r="S4">
        <v>46.9</v>
      </c>
      <c r="T4">
        <v>46.9</v>
      </c>
      <c r="U4">
        <v>43.8</v>
      </c>
      <c r="W4">
        <v>42.5</v>
      </c>
      <c r="X4">
        <v>40.6</v>
      </c>
      <c r="Y4">
        <v>32.5</v>
      </c>
      <c r="Z4">
        <v>43.1</v>
      </c>
      <c r="AA4">
        <v>40.6</v>
      </c>
      <c r="AB4">
        <v>43.1</v>
      </c>
      <c r="AD4">
        <v>38.1</v>
      </c>
      <c r="AE4">
        <v>42.8</v>
      </c>
      <c r="AF4">
        <v>42.5</v>
      </c>
      <c r="AG4">
        <v>31.6</v>
      </c>
    </row>
    <row r="5" spans="1:33" x14ac:dyDescent="0.2">
      <c r="A5">
        <v>51.9</v>
      </c>
      <c r="B5">
        <v>82.9</v>
      </c>
      <c r="D5">
        <v>75.5</v>
      </c>
      <c r="E5">
        <v>89.7</v>
      </c>
      <c r="F5">
        <v>67.2</v>
      </c>
      <c r="G5">
        <v>75.3</v>
      </c>
      <c r="H5">
        <v>54.4</v>
      </c>
      <c r="I5">
        <v>97.1</v>
      </c>
      <c r="K5">
        <v>46.9</v>
      </c>
      <c r="L5">
        <v>0</v>
      </c>
      <c r="M5">
        <v>49.1</v>
      </c>
      <c r="O5">
        <v>43.8</v>
      </c>
      <c r="P5">
        <v>45.3</v>
      </c>
      <c r="Q5">
        <v>51.2</v>
      </c>
      <c r="R5">
        <v>41.6</v>
      </c>
      <c r="S5">
        <v>46.2</v>
      </c>
      <c r="T5">
        <v>45.9</v>
      </c>
      <c r="U5">
        <v>46.9</v>
      </c>
      <c r="W5">
        <v>44.7</v>
      </c>
      <c r="X5">
        <v>46.6</v>
      </c>
      <c r="Y5">
        <v>40.6</v>
      </c>
      <c r="Z5">
        <v>36.6</v>
      </c>
      <c r="AA5">
        <v>39.700000000000003</v>
      </c>
      <c r="AB5">
        <v>40.6</v>
      </c>
      <c r="AD5">
        <v>42.8</v>
      </c>
      <c r="AE5">
        <v>31.9</v>
      </c>
      <c r="AF5">
        <v>39.700000000000003</v>
      </c>
      <c r="AG5">
        <v>32.5</v>
      </c>
    </row>
    <row r="6" spans="1:33" x14ac:dyDescent="0.2">
      <c r="A6">
        <v>97</v>
      </c>
      <c r="B6">
        <v>95.4</v>
      </c>
      <c r="D6">
        <v>45</v>
      </c>
      <c r="E6">
        <v>65.900000000000006</v>
      </c>
      <c r="F6">
        <v>97</v>
      </c>
      <c r="G6">
        <v>56.2</v>
      </c>
      <c r="H6">
        <v>96</v>
      </c>
      <c r="I6">
        <v>95.9</v>
      </c>
      <c r="K6">
        <v>46.9</v>
      </c>
      <c r="L6">
        <v>40.6</v>
      </c>
      <c r="M6">
        <v>51.2</v>
      </c>
      <c r="O6">
        <v>46.9</v>
      </c>
      <c r="P6">
        <v>43.1</v>
      </c>
      <c r="Q6">
        <v>43.1</v>
      </c>
      <c r="R6">
        <v>40.6</v>
      </c>
      <c r="S6">
        <v>45.6</v>
      </c>
      <c r="T6">
        <v>41.6</v>
      </c>
      <c r="U6">
        <v>43.8</v>
      </c>
      <c r="W6">
        <v>44.4</v>
      </c>
      <c r="X6">
        <v>46.2</v>
      </c>
      <c r="Y6">
        <v>32.5</v>
      </c>
      <c r="Z6">
        <v>44.7</v>
      </c>
      <c r="AA6">
        <v>38.1</v>
      </c>
      <c r="AB6">
        <v>41.2</v>
      </c>
      <c r="AD6">
        <v>32.5</v>
      </c>
      <c r="AE6">
        <v>39.700000000000003</v>
      </c>
      <c r="AF6">
        <v>40.6</v>
      </c>
      <c r="AG6">
        <v>31.2</v>
      </c>
    </row>
    <row r="7" spans="1:33" x14ac:dyDescent="0.2">
      <c r="A7">
        <v>97</v>
      </c>
      <c r="B7">
        <v>63.8</v>
      </c>
      <c r="D7">
        <v>89.8</v>
      </c>
      <c r="E7">
        <v>68.099999999999994</v>
      </c>
      <c r="F7">
        <v>51.2</v>
      </c>
      <c r="G7">
        <v>94.3</v>
      </c>
      <c r="H7">
        <v>93.8</v>
      </c>
      <c r="I7">
        <v>94.4</v>
      </c>
      <c r="K7">
        <v>46.2</v>
      </c>
      <c r="L7">
        <v>42.5</v>
      </c>
      <c r="M7">
        <v>51.9</v>
      </c>
      <c r="O7">
        <v>46.9</v>
      </c>
      <c r="P7">
        <v>45.9</v>
      </c>
      <c r="Q7">
        <v>52.5</v>
      </c>
      <c r="R7">
        <v>46.9</v>
      </c>
      <c r="S7">
        <v>46.9</v>
      </c>
      <c r="T7">
        <v>45.3</v>
      </c>
      <c r="U7">
        <v>45.3</v>
      </c>
      <c r="W7">
        <v>45.3</v>
      </c>
      <c r="X7">
        <v>31.2</v>
      </c>
      <c r="Y7">
        <v>40</v>
      </c>
      <c r="Z7">
        <v>42.2</v>
      </c>
      <c r="AA7">
        <v>40.299999999999997</v>
      </c>
      <c r="AB7">
        <v>39.700000000000003</v>
      </c>
      <c r="AD7">
        <v>43.1</v>
      </c>
      <c r="AE7">
        <v>39.700000000000003</v>
      </c>
      <c r="AF7">
        <v>39.700000000000003</v>
      </c>
      <c r="AG7">
        <v>31.9</v>
      </c>
    </row>
    <row r="8" spans="1:33" x14ac:dyDescent="0.2">
      <c r="A8">
        <v>89.6</v>
      </c>
      <c r="B8">
        <v>93.8</v>
      </c>
      <c r="D8">
        <v>85.4</v>
      </c>
      <c r="E8">
        <v>68.099999999999994</v>
      </c>
      <c r="F8">
        <v>85</v>
      </c>
      <c r="G8">
        <v>91.6</v>
      </c>
      <c r="H8">
        <v>54.4</v>
      </c>
      <c r="I8">
        <v>80</v>
      </c>
      <c r="K8">
        <v>46.9</v>
      </c>
      <c r="L8">
        <v>46.2</v>
      </c>
      <c r="M8">
        <v>53.1</v>
      </c>
      <c r="O8">
        <v>42.2</v>
      </c>
      <c r="P8">
        <v>45</v>
      </c>
      <c r="Q8">
        <v>63.8</v>
      </c>
      <c r="R8">
        <v>42.2</v>
      </c>
      <c r="S8">
        <v>46.9</v>
      </c>
      <c r="T8">
        <v>40.6</v>
      </c>
      <c r="U8">
        <v>45.9</v>
      </c>
      <c r="W8">
        <v>44.1</v>
      </c>
      <c r="X8">
        <v>45.9</v>
      </c>
      <c r="Y8">
        <v>40.6</v>
      </c>
      <c r="Z8">
        <v>44.7</v>
      </c>
      <c r="AA8">
        <v>46.9</v>
      </c>
      <c r="AB8">
        <v>40.6</v>
      </c>
      <c r="AD8">
        <v>40</v>
      </c>
      <c r="AE8">
        <v>41.9</v>
      </c>
      <c r="AF8">
        <v>42.5</v>
      </c>
      <c r="AG8">
        <v>32.200000000000003</v>
      </c>
    </row>
    <row r="9" spans="1:33" x14ac:dyDescent="0.2">
      <c r="A9">
        <v>91.6</v>
      </c>
      <c r="B9">
        <v>93.7</v>
      </c>
      <c r="D9">
        <v>54.4</v>
      </c>
      <c r="E9">
        <v>93.8</v>
      </c>
      <c r="F9">
        <v>95.9</v>
      </c>
      <c r="G9">
        <v>63.8</v>
      </c>
      <c r="H9">
        <v>97.1</v>
      </c>
      <c r="I9">
        <v>96</v>
      </c>
      <c r="K9">
        <v>41.6</v>
      </c>
      <c r="L9">
        <v>44.1</v>
      </c>
      <c r="M9">
        <v>56.2</v>
      </c>
      <c r="O9">
        <v>46.9</v>
      </c>
      <c r="P9">
        <v>44.7</v>
      </c>
      <c r="Q9">
        <v>45.3</v>
      </c>
      <c r="R9">
        <v>45.3</v>
      </c>
      <c r="S9">
        <v>44.7</v>
      </c>
      <c r="T9">
        <v>42.5</v>
      </c>
      <c r="U9">
        <v>45.3</v>
      </c>
      <c r="W9">
        <v>46.9</v>
      </c>
      <c r="X9">
        <v>46.2</v>
      </c>
      <c r="Y9">
        <v>23.4</v>
      </c>
      <c r="Z9">
        <v>43.8</v>
      </c>
      <c r="AA9">
        <v>43.1</v>
      </c>
      <c r="AB9">
        <v>44.7</v>
      </c>
      <c r="AD9">
        <v>41.6</v>
      </c>
      <c r="AE9">
        <v>31.2</v>
      </c>
      <c r="AF9">
        <v>35</v>
      </c>
      <c r="AG9">
        <v>33.799999999999997</v>
      </c>
    </row>
    <row r="10" spans="1:33" x14ac:dyDescent="0.2">
      <c r="A10">
        <v>97</v>
      </c>
      <c r="B10">
        <v>85</v>
      </c>
      <c r="D10">
        <v>43.8</v>
      </c>
      <c r="E10">
        <v>69.400000000000006</v>
      </c>
      <c r="F10">
        <v>51.2</v>
      </c>
      <c r="G10">
        <v>54.4</v>
      </c>
      <c r="H10">
        <v>63.8</v>
      </c>
      <c r="I10">
        <v>51.2</v>
      </c>
      <c r="K10">
        <v>46.6</v>
      </c>
      <c r="L10">
        <v>12.5</v>
      </c>
      <c r="M10">
        <v>52.5</v>
      </c>
      <c r="O10">
        <v>44.7</v>
      </c>
      <c r="P10">
        <v>45.3</v>
      </c>
      <c r="Q10">
        <v>52.5</v>
      </c>
      <c r="R10">
        <v>39.1</v>
      </c>
      <c r="S10">
        <v>46.9</v>
      </c>
      <c r="T10">
        <v>46.9</v>
      </c>
      <c r="U10">
        <v>42.5</v>
      </c>
      <c r="W10">
        <v>43.8</v>
      </c>
      <c r="X10">
        <v>45.3</v>
      </c>
      <c r="Y10">
        <v>34.1</v>
      </c>
      <c r="Z10">
        <v>41.6</v>
      </c>
      <c r="AA10">
        <v>44.7</v>
      </c>
      <c r="AB10">
        <v>43.8</v>
      </c>
      <c r="AD10">
        <v>42.5</v>
      </c>
      <c r="AE10">
        <v>35</v>
      </c>
      <c r="AF10">
        <v>42.5</v>
      </c>
      <c r="AG10">
        <v>32.5</v>
      </c>
    </row>
    <row r="11" spans="1:33" x14ac:dyDescent="0.2">
      <c r="A11">
        <v>52.2</v>
      </c>
      <c r="B11">
        <v>85.4</v>
      </c>
      <c r="D11">
        <v>51.9</v>
      </c>
      <c r="E11">
        <v>51.9</v>
      </c>
      <c r="F11">
        <v>98.1</v>
      </c>
      <c r="G11">
        <v>93.8</v>
      </c>
      <c r="H11">
        <v>95.9</v>
      </c>
      <c r="I11">
        <v>93.8</v>
      </c>
      <c r="K11">
        <v>46.9</v>
      </c>
      <c r="L11">
        <v>12.5</v>
      </c>
      <c r="M11">
        <v>52.5</v>
      </c>
      <c r="O11">
        <v>43.1</v>
      </c>
      <c r="P11">
        <v>46.9</v>
      </c>
      <c r="Q11">
        <v>52.5</v>
      </c>
      <c r="R11">
        <v>45.3</v>
      </c>
      <c r="S11">
        <v>41.2</v>
      </c>
      <c r="T11">
        <v>46.9</v>
      </c>
      <c r="U11">
        <v>51.6</v>
      </c>
      <c r="W11">
        <v>43.8</v>
      </c>
      <c r="X11">
        <v>46.2</v>
      </c>
      <c r="Y11">
        <v>42.2</v>
      </c>
      <c r="Z11">
        <v>45.3</v>
      </c>
      <c r="AA11">
        <v>42.5</v>
      </c>
      <c r="AB11">
        <v>45.6</v>
      </c>
      <c r="AD11">
        <v>39.700000000000003</v>
      </c>
      <c r="AE11">
        <v>32.6</v>
      </c>
      <c r="AF11">
        <v>32.5</v>
      </c>
      <c r="AG11">
        <v>35</v>
      </c>
    </row>
    <row r="12" spans="1:33" x14ac:dyDescent="0.2">
      <c r="A12">
        <v>98.1</v>
      </c>
      <c r="B12">
        <v>81.900000000000006</v>
      </c>
      <c r="D12">
        <v>56.2</v>
      </c>
      <c r="E12">
        <v>87.2</v>
      </c>
      <c r="F12">
        <v>88.3</v>
      </c>
      <c r="G12">
        <v>93.8</v>
      </c>
      <c r="H12">
        <v>97.1</v>
      </c>
      <c r="I12">
        <v>97.1</v>
      </c>
      <c r="K12">
        <v>40.6</v>
      </c>
      <c r="L12">
        <v>13.1</v>
      </c>
      <c r="M12">
        <v>51.2</v>
      </c>
      <c r="O12">
        <v>42.8</v>
      </c>
      <c r="P12">
        <v>46.9</v>
      </c>
      <c r="Q12">
        <v>52.2</v>
      </c>
      <c r="R12">
        <v>45.3</v>
      </c>
      <c r="S12">
        <v>45.6</v>
      </c>
      <c r="T12">
        <v>45.3</v>
      </c>
      <c r="U12">
        <v>43.8</v>
      </c>
      <c r="W12">
        <v>42.5</v>
      </c>
      <c r="X12">
        <v>45.9</v>
      </c>
      <c r="Y12">
        <v>32.5</v>
      </c>
      <c r="Z12">
        <v>42.2</v>
      </c>
      <c r="AA12">
        <v>40.6</v>
      </c>
      <c r="AB12">
        <v>42.2</v>
      </c>
      <c r="AD12">
        <v>43.4</v>
      </c>
      <c r="AE12">
        <v>42.5</v>
      </c>
      <c r="AF12">
        <v>40.6</v>
      </c>
      <c r="AG12">
        <v>32.5</v>
      </c>
    </row>
    <row r="13" spans="1:33" x14ac:dyDescent="0.2">
      <c r="A13">
        <v>85</v>
      </c>
      <c r="B13">
        <v>70.599999999999994</v>
      </c>
      <c r="D13">
        <v>68.099999999999994</v>
      </c>
      <c r="E13">
        <v>54.4</v>
      </c>
      <c r="F13">
        <v>52.5</v>
      </c>
      <c r="G13">
        <v>54.4</v>
      </c>
      <c r="H13">
        <v>51.2</v>
      </c>
      <c r="I13">
        <v>95.9</v>
      </c>
      <c r="K13">
        <v>44.7</v>
      </c>
      <c r="L13">
        <v>43.8</v>
      </c>
      <c r="M13">
        <v>49.1</v>
      </c>
      <c r="O13">
        <v>45.3</v>
      </c>
      <c r="P13">
        <v>44.1</v>
      </c>
      <c r="Q13">
        <v>36.200000000000003</v>
      </c>
      <c r="R13">
        <v>40.6</v>
      </c>
      <c r="S13">
        <v>45.3</v>
      </c>
      <c r="T13">
        <v>49.1</v>
      </c>
      <c r="U13">
        <v>46.9</v>
      </c>
      <c r="W13">
        <v>46.9</v>
      </c>
      <c r="X13">
        <v>44.7</v>
      </c>
      <c r="Y13">
        <v>32.5</v>
      </c>
      <c r="Z13">
        <v>43.1</v>
      </c>
      <c r="AA13">
        <v>39.700000000000003</v>
      </c>
      <c r="AB13">
        <v>46.9</v>
      </c>
      <c r="AD13">
        <v>38.799999999999997</v>
      </c>
      <c r="AE13">
        <v>33.799999999999997</v>
      </c>
      <c r="AF13">
        <v>35</v>
      </c>
      <c r="AG13">
        <v>34.1</v>
      </c>
    </row>
    <row r="14" spans="1:33" x14ac:dyDescent="0.2">
      <c r="A14">
        <v>95.9</v>
      </c>
      <c r="B14">
        <v>85</v>
      </c>
      <c r="D14">
        <v>61.6</v>
      </c>
      <c r="E14">
        <v>96</v>
      </c>
      <c r="F14">
        <v>95.9</v>
      </c>
      <c r="G14">
        <v>65</v>
      </c>
      <c r="H14">
        <v>93.8</v>
      </c>
      <c r="I14">
        <v>95.9</v>
      </c>
      <c r="K14">
        <v>42.5</v>
      </c>
      <c r="L14">
        <v>44.7</v>
      </c>
      <c r="M14">
        <v>51.2</v>
      </c>
      <c r="O14">
        <v>42.2</v>
      </c>
      <c r="P14">
        <v>45</v>
      </c>
      <c r="Q14">
        <v>41.2</v>
      </c>
      <c r="R14">
        <v>51.9</v>
      </c>
      <c r="S14">
        <v>46.9</v>
      </c>
      <c r="T14">
        <v>46.6</v>
      </c>
      <c r="U14">
        <v>44.7</v>
      </c>
      <c r="W14">
        <v>43.8</v>
      </c>
      <c r="X14">
        <v>44.1</v>
      </c>
      <c r="Y14">
        <v>32.5</v>
      </c>
      <c r="Z14">
        <v>42.2</v>
      </c>
      <c r="AA14">
        <v>46.9</v>
      </c>
      <c r="AB14">
        <v>40.6</v>
      </c>
      <c r="AD14">
        <v>43.1</v>
      </c>
      <c r="AE14">
        <v>41.9</v>
      </c>
      <c r="AF14">
        <v>40.6</v>
      </c>
      <c r="AG14">
        <v>33.1</v>
      </c>
    </row>
    <row r="15" spans="1:33" x14ac:dyDescent="0.2">
      <c r="A15">
        <v>89.8</v>
      </c>
      <c r="B15">
        <v>94.4</v>
      </c>
      <c r="D15">
        <v>94.3</v>
      </c>
      <c r="E15">
        <v>92.2</v>
      </c>
      <c r="F15">
        <v>63.8</v>
      </c>
      <c r="G15">
        <v>74.599999999999994</v>
      </c>
      <c r="H15">
        <v>91.6</v>
      </c>
      <c r="I15">
        <v>94.9</v>
      </c>
      <c r="K15">
        <v>45.6</v>
      </c>
      <c r="L15">
        <v>12.5</v>
      </c>
      <c r="M15">
        <v>51.9</v>
      </c>
      <c r="O15">
        <v>43.8</v>
      </c>
      <c r="P15">
        <v>46.9</v>
      </c>
      <c r="Q15">
        <v>30.6</v>
      </c>
      <c r="R15">
        <v>45.3</v>
      </c>
      <c r="S15">
        <v>42.5</v>
      </c>
      <c r="T15">
        <v>46.9</v>
      </c>
      <c r="U15">
        <v>46.9</v>
      </c>
      <c r="W15">
        <v>41.9</v>
      </c>
      <c r="X15">
        <v>45</v>
      </c>
      <c r="Y15">
        <v>32.5</v>
      </c>
      <c r="Z15">
        <v>39.1</v>
      </c>
      <c r="AA15">
        <v>46.9</v>
      </c>
      <c r="AB15">
        <v>40.6</v>
      </c>
      <c r="AD15">
        <v>39.700000000000003</v>
      </c>
      <c r="AE15">
        <v>44.7</v>
      </c>
      <c r="AF15">
        <v>33.799999999999997</v>
      </c>
      <c r="AG15">
        <v>32.5</v>
      </c>
    </row>
    <row r="16" spans="1:33" x14ac:dyDescent="0.2">
      <c r="A16">
        <v>97</v>
      </c>
      <c r="B16">
        <v>96</v>
      </c>
      <c r="D16">
        <v>60</v>
      </c>
      <c r="E16">
        <v>51.2</v>
      </c>
      <c r="F16">
        <v>93.7</v>
      </c>
      <c r="G16">
        <v>51.9</v>
      </c>
      <c r="H16">
        <v>53.1</v>
      </c>
      <c r="I16">
        <v>95.9</v>
      </c>
      <c r="K16">
        <v>46.9</v>
      </c>
      <c r="L16">
        <v>44.7</v>
      </c>
      <c r="M16">
        <v>51.2</v>
      </c>
      <c r="O16">
        <v>42.2</v>
      </c>
      <c r="P16">
        <v>46.9</v>
      </c>
      <c r="Q16">
        <v>39.4</v>
      </c>
      <c r="R16">
        <v>46.9</v>
      </c>
      <c r="S16">
        <v>46.9</v>
      </c>
      <c r="T16">
        <v>46.2</v>
      </c>
      <c r="U16">
        <v>41.6</v>
      </c>
      <c r="W16">
        <v>40.6</v>
      </c>
      <c r="X16">
        <v>45</v>
      </c>
      <c r="Y16">
        <v>38.4</v>
      </c>
      <c r="Z16">
        <v>40.9</v>
      </c>
      <c r="AA16">
        <v>33.799999999999997</v>
      </c>
      <c r="AB16">
        <v>43.1</v>
      </c>
      <c r="AD16">
        <v>36.9</v>
      </c>
      <c r="AE16">
        <v>44.1</v>
      </c>
      <c r="AF16">
        <v>38.799999999999997</v>
      </c>
      <c r="AG16">
        <v>33.1</v>
      </c>
    </row>
    <row r="17" spans="1:33" x14ac:dyDescent="0.2">
      <c r="A17">
        <v>95.9</v>
      </c>
      <c r="B17">
        <v>96</v>
      </c>
      <c r="D17">
        <v>82.9</v>
      </c>
      <c r="E17">
        <v>54.4</v>
      </c>
      <c r="F17">
        <v>98.1</v>
      </c>
      <c r="G17">
        <v>75.5</v>
      </c>
      <c r="H17">
        <v>60.3</v>
      </c>
      <c r="I17">
        <v>95.9</v>
      </c>
      <c r="K17">
        <v>46.6</v>
      </c>
      <c r="L17">
        <v>42.5</v>
      </c>
      <c r="M17">
        <v>52.5</v>
      </c>
      <c r="O17">
        <v>44.7</v>
      </c>
      <c r="P17">
        <v>46.9</v>
      </c>
      <c r="Q17">
        <v>49.1</v>
      </c>
      <c r="R17">
        <v>43.1</v>
      </c>
      <c r="S17">
        <v>44.4</v>
      </c>
      <c r="T17">
        <v>44.7</v>
      </c>
      <c r="U17">
        <v>40.6</v>
      </c>
      <c r="W17">
        <v>34.1</v>
      </c>
      <c r="X17">
        <v>43.8</v>
      </c>
      <c r="Y17">
        <v>32.5</v>
      </c>
      <c r="Z17">
        <v>43.1</v>
      </c>
      <c r="AA17">
        <v>39.4</v>
      </c>
      <c r="AB17">
        <v>39.700000000000003</v>
      </c>
      <c r="AD17">
        <v>40.9</v>
      </c>
      <c r="AE17">
        <v>38.4</v>
      </c>
      <c r="AF17">
        <v>31.9</v>
      </c>
      <c r="AG17">
        <v>32.5</v>
      </c>
    </row>
    <row r="18" spans="1:33" x14ac:dyDescent="0.2">
      <c r="A18">
        <v>97</v>
      </c>
      <c r="B18">
        <v>89.8</v>
      </c>
      <c r="D18">
        <v>52.5</v>
      </c>
      <c r="E18">
        <v>54.7</v>
      </c>
      <c r="F18">
        <v>95.9</v>
      </c>
      <c r="G18">
        <v>56.2</v>
      </c>
      <c r="H18">
        <v>90.7</v>
      </c>
      <c r="I18">
        <v>97</v>
      </c>
      <c r="K18">
        <v>45.9</v>
      </c>
      <c r="L18">
        <v>46.9</v>
      </c>
      <c r="M18">
        <v>51.6</v>
      </c>
      <c r="O18">
        <v>42.8</v>
      </c>
      <c r="P18">
        <v>46.9</v>
      </c>
      <c r="Q18">
        <v>30.6</v>
      </c>
      <c r="R18">
        <v>46.9</v>
      </c>
      <c r="S18">
        <v>44.7</v>
      </c>
      <c r="T18">
        <v>43.1</v>
      </c>
      <c r="U18">
        <v>40.6</v>
      </c>
      <c r="W18">
        <v>46.6</v>
      </c>
      <c r="X18">
        <v>43.4</v>
      </c>
      <c r="Y18">
        <v>32.200000000000003</v>
      </c>
      <c r="Z18">
        <v>44.7</v>
      </c>
      <c r="AA18">
        <v>42.5</v>
      </c>
      <c r="AB18">
        <v>42.5</v>
      </c>
      <c r="AD18">
        <v>40</v>
      </c>
      <c r="AE18">
        <v>42.2</v>
      </c>
      <c r="AF18">
        <v>41.6</v>
      </c>
      <c r="AG18">
        <v>42.5</v>
      </c>
    </row>
    <row r="19" spans="1:33" x14ac:dyDescent="0.2">
      <c r="A19">
        <v>84.4</v>
      </c>
      <c r="B19">
        <v>91.6</v>
      </c>
      <c r="D19">
        <v>72.7</v>
      </c>
      <c r="E19">
        <v>87.2</v>
      </c>
      <c r="F19">
        <v>95.9</v>
      </c>
      <c r="G19">
        <v>89.7</v>
      </c>
      <c r="H19">
        <v>52.5</v>
      </c>
      <c r="I19">
        <v>51.2</v>
      </c>
      <c r="K19">
        <v>46.9</v>
      </c>
      <c r="L19">
        <v>12.5</v>
      </c>
      <c r="M19">
        <v>48.8</v>
      </c>
      <c r="O19">
        <v>44.7</v>
      </c>
      <c r="P19">
        <v>43.8</v>
      </c>
      <c r="Q19">
        <v>55.3</v>
      </c>
      <c r="R19">
        <v>45.3</v>
      </c>
      <c r="S19">
        <v>46.9</v>
      </c>
      <c r="T19">
        <v>46.9</v>
      </c>
      <c r="U19">
        <v>43.8</v>
      </c>
      <c r="W19">
        <v>44.7</v>
      </c>
      <c r="X19">
        <v>44.4</v>
      </c>
      <c r="Y19">
        <v>34.700000000000003</v>
      </c>
      <c r="Z19">
        <v>42.2</v>
      </c>
      <c r="AA19">
        <v>40.6</v>
      </c>
      <c r="AB19">
        <v>42.5</v>
      </c>
      <c r="AD19">
        <v>32.5</v>
      </c>
      <c r="AE19">
        <v>42.2</v>
      </c>
      <c r="AF19">
        <v>41.6</v>
      </c>
      <c r="AG19">
        <v>32.5</v>
      </c>
    </row>
    <row r="20" spans="1:33" x14ac:dyDescent="0.2">
      <c r="A20">
        <v>68.099999999999994</v>
      </c>
      <c r="B20">
        <v>51.2</v>
      </c>
      <c r="D20">
        <v>89.7</v>
      </c>
      <c r="E20">
        <v>51.9</v>
      </c>
      <c r="F20">
        <v>98.1</v>
      </c>
      <c r="G20">
        <v>92.8</v>
      </c>
      <c r="H20">
        <v>60</v>
      </c>
      <c r="I20">
        <v>50.6</v>
      </c>
      <c r="K20">
        <v>42.5</v>
      </c>
      <c r="L20">
        <v>12.5</v>
      </c>
      <c r="M20">
        <v>51.9</v>
      </c>
      <c r="O20">
        <v>41.2</v>
      </c>
      <c r="P20">
        <v>45.6</v>
      </c>
      <c r="Q20">
        <v>46.9</v>
      </c>
      <c r="R20">
        <v>45.3</v>
      </c>
      <c r="S20">
        <v>42.5</v>
      </c>
      <c r="T20">
        <v>44.4</v>
      </c>
      <c r="U20">
        <v>42.2</v>
      </c>
      <c r="W20">
        <v>44.1</v>
      </c>
      <c r="X20">
        <v>44.4</v>
      </c>
      <c r="Y20">
        <v>32.5</v>
      </c>
      <c r="Z20">
        <v>46.9</v>
      </c>
      <c r="AA20">
        <v>32.5</v>
      </c>
      <c r="AB20">
        <v>38.799999999999997</v>
      </c>
      <c r="AD20">
        <v>41.6</v>
      </c>
      <c r="AE20">
        <v>41.6</v>
      </c>
      <c r="AF20">
        <v>33.799999999999997</v>
      </c>
      <c r="AG20">
        <v>33.1</v>
      </c>
    </row>
    <row r="21" spans="1:33" x14ac:dyDescent="0.2">
      <c r="A21">
        <v>94.3</v>
      </c>
      <c r="B21">
        <v>97</v>
      </c>
      <c r="D21">
        <v>82.9</v>
      </c>
      <c r="E21">
        <v>89.7</v>
      </c>
      <c r="F21">
        <v>96</v>
      </c>
      <c r="G21">
        <v>94.3</v>
      </c>
      <c r="H21">
        <v>65.900000000000006</v>
      </c>
      <c r="I21">
        <v>87.2</v>
      </c>
      <c r="K21">
        <v>46.9</v>
      </c>
      <c r="L21">
        <v>12.5</v>
      </c>
      <c r="M21">
        <v>49.1</v>
      </c>
      <c r="O21">
        <v>46.9</v>
      </c>
      <c r="P21">
        <v>45.9</v>
      </c>
      <c r="Q21">
        <v>52.5</v>
      </c>
      <c r="R21">
        <v>44.4</v>
      </c>
      <c r="S21">
        <v>46.9</v>
      </c>
      <c r="T21">
        <v>46.9</v>
      </c>
      <c r="U21">
        <v>46.9</v>
      </c>
      <c r="W21">
        <v>44.4</v>
      </c>
      <c r="X21">
        <v>40.299999999999997</v>
      </c>
      <c r="Y21">
        <v>32.5</v>
      </c>
      <c r="Z21">
        <v>39.700000000000003</v>
      </c>
      <c r="AA21">
        <v>33.799999999999997</v>
      </c>
      <c r="AB21">
        <v>41.6</v>
      </c>
      <c r="AD21">
        <v>32.5</v>
      </c>
      <c r="AE21">
        <v>33.1</v>
      </c>
      <c r="AF21">
        <v>34.4</v>
      </c>
      <c r="AG21">
        <v>32.5</v>
      </c>
    </row>
    <row r="23" spans="1:33" x14ac:dyDescent="0.2">
      <c r="A23">
        <f>AVERAGE(A2:A21)</f>
        <v>87.945000000000007</v>
      </c>
      <c r="B23">
        <f>AVERAGE(B2:B21)</f>
        <v>85.52000000000001</v>
      </c>
      <c r="D23">
        <f t="shared" ref="D23:I23" si="0">AVERAGE(D2:D21)</f>
        <v>72.02000000000001</v>
      </c>
      <c r="E23">
        <f t="shared" si="0"/>
        <v>73.390000000000015</v>
      </c>
      <c r="F23">
        <f t="shared" si="0"/>
        <v>84.65</v>
      </c>
      <c r="G23">
        <f t="shared" si="0"/>
        <v>74.574999999999989</v>
      </c>
      <c r="H23">
        <f t="shared" si="0"/>
        <v>70.69</v>
      </c>
      <c r="I23">
        <f t="shared" si="0"/>
        <v>87.750000000000028</v>
      </c>
      <c r="K23">
        <f>AVERAGE(K2:K21)</f>
        <v>45.464999999999996</v>
      </c>
      <c r="L23">
        <f>AVERAGE(L2:L21)</f>
        <v>29.505000000000003</v>
      </c>
      <c r="M23">
        <f t="shared" ref="M23" si="1">AVERAGE(M2:M21)</f>
        <v>51.39</v>
      </c>
      <c r="O23">
        <f>AVERAGE(O2:O21)</f>
        <v>44.510000000000005</v>
      </c>
      <c r="P23">
        <f t="shared" ref="P23:R23" si="2">AVERAGE(P2:P21)</f>
        <v>45.629999999999988</v>
      </c>
      <c r="Q23">
        <f t="shared" si="2"/>
        <v>47.260000000000005</v>
      </c>
      <c r="R23">
        <f t="shared" si="2"/>
        <v>43.969999999999992</v>
      </c>
      <c r="S23">
        <f>AVERAGE(S2:S21)</f>
        <v>45.584999999999994</v>
      </c>
      <c r="T23">
        <f>AVERAGE(T2:T21)</f>
        <v>45.305</v>
      </c>
      <c r="U23">
        <f t="shared" ref="U23" si="3">AVERAGE(U2:U21)</f>
        <v>44.745000000000005</v>
      </c>
      <c r="W23">
        <f>AVERAGE(W2:W21)</f>
        <v>43.645000000000003</v>
      </c>
      <c r="X23">
        <f>AVERAGE(X2:X21)</f>
        <v>44.084999999999994</v>
      </c>
      <c r="Y23">
        <f>AVERAGE(Y2:Y21)</f>
        <v>34.230000000000004</v>
      </c>
      <c r="Z23">
        <f t="shared" ref="Z23:AA23" si="4">AVERAGE(Z2:Z21)</f>
        <v>42.510000000000005</v>
      </c>
      <c r="AA23">
        <f t="shared" si="4"/>
        <v>40.784999999999989</v>
      </c>
      <c r="AB23">
        <f>AVERAGE(AB2:AB21)</f>
        <v>42.015000000000001</v>
      </c>
      <c r="AD23">
        <f>AVERAGE(AD2:AD21)</f>
        <v>39.755000000000003</v>
      </c>
      <c r="AE23">
        <f>AVERAGE(AE2:AE21)</f>
        <v>38.625000000000007</v>
      </c>
      <c r="AF23">
        <f t="shared" ref="AF23:AG23" si="5">AVERAGE(AF2:AF21)</f>
        <v>38.054999999999993</v>
      </c>
      <c r="AG23">
        <f t="shared" si="5"/>
        <v>33.630000000000003</v>
      </c>
    </row>
    <row r="25" spans="1:33" x14ac:dyDescent="0.2">
      <c r="A25">
        <f>_xlfn.QUARTILE.INC(A2:A21,1)</f>
        <v>84.85</v>
      </c>
      <c r="B25">
        <f>_xlfn.QUARTILE.INC(B2:B21,1)</f>
        <v>82.65</v>
      </c>
      <c r="D25">
        <f t="shared" ref="D25:I25" si="6">_xlfn.QUARTILE.INC(D2:D21,1)</f>
        <v>55.75</v>
      </c>
      <c r="E25">
        <f t="shared" si="6"/>
        <v>54.625</v>
      </c>
      <c r="F25">
        <f t="shared" si="6"/>
        <v>80.55</v>
      </c>
      <c r="G25">
        <f t="shared" si="6"/>
        <v>56.2</v>
      </c>
      <c r="H25">
        <f t="shared" si="6"/>
        <v>54.075000000000003</v>
      </c>
      <c r="I25">
        <f t="shared" si="6"/>
        <v>92.075000000000003</v>
      </c>
      <c r="K25">
        <f>_xlfn.QUARTILE.INC(K2:K21,1)</f>
        <v>44.625</v>
      </c>
      <c r="L25">
        <f>_xlfn.QUARTILE.INC(L2:L21,1)</f>
        <v>12.5</v>
      </c>
      <c r="M25">
        <f t="shared" ref="M25" si="7">_xlfn.QUARTILE.INC(M2:M21,1)</f>
        <v>50.675000000000004</v>
      </c>
      <c r="O25">
        <f>_xlfn.QUARTILE.INC(O2:O21,1)</f>
        <v>42.8</v>
      </c>
      <c r="P25">
        <f t="shared" ref="P25:R25" si="8">_xlfn.QUARTILE.INC(P2:P21,1)</f>
        <v>44.924999999999997</v>
      </c>
      <c r="Q25">
        <f t="shared" si="8"/>
        <v>42.625</v>
      </c>
      <c r="R25">
        <f t="shared" si="8"/>
        <v>41.5</v>
      </c>
      <c r="S25">
        <f>_xlfn.QUARTILE.INC(S2:S21,1)</f>
        <v>44.7</v>
      </c>
      <c r="T25">
        <f>_xlfn.QUARTILE.INC(T2:T21,1)</f>
        <v>44.075000000000003</v>
      </c>
      <c r="U25">
        <f t="shared" ref="U25" si="9">_xlfn.QUARTILE.INC(U2:U21,1)</f>
        <v>43.474999999999994</v>
      </c>
      <c r="W25">
        <f>_xlfn.QUARTILE.INC(W2:W21,1)</f>
        <v>42.95</v>
      </c>
      <c r="X25">
        <f>_xlfn.QUARTILE.INC(X2:X21,1)</f>
        <v>44.024999999999999</v>
      </c>
      <c r="Y25">
        <f>_xlfn.QUARTILE.INC(Y2:Y21,1)</f>
        <v>32.5</v>
      </c>
      <c r="Z25">
        <f t="shared" ref="Z25:AA25" si="10">_xlfn.QUARTILE.INC(Z2:Z21,1)</f>
        <v>41.6</v>
      </c>
      <c r="AA25">
        <f t="shared" si="10"/>
        <v>39.625</v>
      </c>
      <c r="AB25">
        <f>_xlfn.QUARTILE.INC(AB2:AB21,1)</f>
        <v>40.6</v>
      </c>
      <c r="AD25">
        <f>_xlfn.QUARTILE.INC(AD2:AD21,1)</f>
        <v>38.625</v>
      </c>
      <c r="AE25">
        <f>_xlfn.QUARTILE.INC(AE2:AE21,1)</f>
        <v>33.625</v>
      </c>
      <c r="AF25">
        <f t="shared" ref="AF25:AG25" si="11">_xlfn.QUARTILE.INC(AF2:AF21,1)</f>
        <v>34.25</v>
      </c>
      <c r="AG25">
        <f t="shared" si="11"/>
        <v>32.424999999999997</v>
      </c>
    </row>
    <row r="26" spans="1:33" x14ac:dyDescent="0.2">
      <c r="A26">
        <f>_xlfn.QUARTILE.INC(A2:A21,2)</f>
        <v>95.1</v>
      </c>
      <c r="B26">
        <f>_xlfn.QUARTILE.INC(B2:B21,2)</f>
        <v>90.699999999999989</v>
      </c>
      <c r="D26">
        <f t="shared" ref="D26:I26" si="12">_xlfn.QUARTILE.INC(D2:D21,2)</f>
        <v>74.099999999999994</v>
      </c>
      <c r="E26">
        <f t="shared" si="12"/>
        <v>68.75</v>
      </c>
      <c r="F26">
        <f t="shared" si="12"/>
        <v>94.800000000000011</v>
      </c>
      <c r="G26">
        <f t="shared" si="12"/>
        <v>74.949999999999989</v>
      </c>
      <c r="H26">
        <f t="shared" si="12"/>
        <v>62.05</v>
      </c>
      <c r="I26">
        <f t="shared" si="12"/>
        <v>95.65</v>
      </c>
      <c r="K26">
        <f>_xlfn.QUARTILE.INC(K2:K21,2)</f>
        <v>46.6</v>
      </c>
      <c r="L26">
        <f>_xlfn.QUARTILE.INC(L2:L21,2)</f>
        <v>41.55</v>
      </c>
      <c r="M26">
        <f t="shared" ref="M26" si="13">_xlfn.QUARTILE.INC(M2:M21,2)</f>
        <v>51.75</v>
      </c>
      <c r="O26">
        <f>_xlfn.QUARTILE.INC(O2:O21,2)</f>
        <v>44.7</v>
      </c>
      <c r="P26">
        <f t="shared" ref="P26:R26" si="14">_xlfn.QUARTILE.INC(P2:P21,2)</f>
        <v>45.75</v>
      </c>
      <c r="Q26">
        <f t="shared" si="14"/>
        <v>50.150000000000006</v>
      </c>
      <c r="R26">
        <f t="shared" si="14"/>
        <v>44.849999999999994</v>
      </c>
      <c r="S26">
        <f>_xlfn.QUARTILE.INC(S2:S21,2)</f>
        <v>46.55</v>
      </c>
      <c r="T26">
        <f>_xlfn.QUARTILE.INC(T2:T21,2)</f>
        <v>46.05</v>
      </c>
      <c r="U26">
        <f t="shared" ref="U26" si="15">_xlfn.QUARTILE.INC(U2:U21,2)</f>
        <v>45</v>
      </c>
      <c r="W26">
        <f>_xlfn.QUARTILE.INC(W2:W21,2)</f>
        <v>44.1</v>
      </c>
      <c r="X26">
        <f>_xlfn.QUARTILE.INC(X2:X21,2)</f>
        <v>45</v>
      </c>
      <c r="Y26">
        <f>_xlfn.QUARTILE.INC(Y2:Y21,2)</f>
        <v>32.5</v>
      </c>
      <c r="Z26">
        <f t="shared" ref="Z26:AA26" si="16">_xlfn.QUARTILE.INC(Z2:Z21,2)</f>
        <v>42.35</v>
      </c>
      <c r="AA26">
        <f t="shared" si="16"/>
        <v>40.6</v>
      </c>
      <c r="AB26">
        <f>_xlfn.QUARTILE.INC(AB2:AB21,2)</f>
        <v>41.6</v>
      </c>
      <c r="AD26">
        <f>_xlfn.QUARTILE.INC(AD2:AD21,2)</f>
        <v>40.450000000000003</v>
      </c>
      <c r="AE26">
        <f>_xlfn.QUARTILE.INC(AE2:AE21,2)</f>
        <v>40.650000000000006</v>
      </c>
      <c r="AF26">
        <f t="shared" ref="AF26:AG26" si="17">_xlfn.QUARTILE.INC(AF2:AF21,2)</f>
        <v>39.700000000000003</v>
      </c>
      <c r="AG26">
        <f t="shared" si="17"/>
        <v>32.5</v>
      </c>
    </row>
    <row r="27" spans="1:33" x14ac:dyDescent="0.2">
      <c r="A27">
        <f>_xlfn.QUARTILE.INC(A2:A21,3)</f>
        <v>97</v>
      </c>
      <c r="B27">
        <f>_xlfn.QUARTILE.INC(B2:B21,3)</f>
        <v>93.95</v>
      </c>
      <c r="D27">
        <f t="shared" ref="D27:I27" si="18">_xlfn.QUARTILE.INC(D2:D21,3)</f>
        <v>86.475000000000009</v>
      </c>
      <c r="E27">
        <f t="shared" si="18"/>
        <v>89.7</v>
      </c>
      <c r="F27">
        <f t="shared" si="18"/>
        <v>96</v>
      </c>
      <c r="G27">
        <f t="shared" si="18"/>
        <v>91.899999999999991</v>
      </c>
      <c r="H27">
        <f t="shared" si="18"/>
        <v>93.8</v>
      </c>
      <c r="I27">
        <f t="shared" si="18"/>
        <v>95.9</v>
      </c>
      <c r="K27">
        <f>_xlfn.QUARTILE.INC(K2:K21,3)</f>
        <v>46.9</v>
      </c>
      <c r="L27">
        <f>_xlfn.QUARTILE.INC(L2:L21,3)</f>
        <v>44.7</v>
      </c>
      <c r="M27">
        <f t="shared" ref="M27" si="19">_xlfn.QUARTILE.INC(M2:M21,3)</f>
        <v>52.5</v>
      </c>
      <c r="O27">
        <f>_xlfn.QUARTILE.INC(O2:O21,3)</f>
        <v>46.9</v>
      </c>
      <c r="P27">
        <f t="shared" ref="P27:R27" si="20">_xlfn.QUARTILE.INC(P2:P21,3)</f>
        <v>46.9</v>
      </c>
      <c r="Q27">
        <f t="shared" si="20"/>
        <v>52.5</v>
      </c>
      <c r="R27">
        <f t="shared" si="20"/>
        <v>45.3</v>
      </c>
      <c r="S27">
        <f>_xlfn.QUARTILE.INC(S2:S21,3)</f>
        <v>46.9</v>
      </c>
      <c r="T27">
        <f>_xlfn.QUARTILE.INC(T2:T21,3)</f>
        <v>46.9</v>
      </c>
      <c r="U27">
        <f t="shared" ref="U27" si="21">_xlfn.QUARTILE.INC(U2:U21,3)</f>
        <v>46.15</v>
      </c>
      <c r="W27">
        <f>_xlfn.QUARTILE.INC(W2:W21,3)</f>
        <v>44.7</v>
      </c>
      <c r="X27">
        <f>_xlfn.QUARTILE.INC(X2:X21,3)</f>
        <v>45.975000000000001</v>
      </c>
      <c r="Y27">
        <f>_xlfn.QUARTILE.INC(Y2:Y21,3)</f>
        <v>35.625</v>
      </c>
      <c r="Z27">
        <f t="shared" ref="Z27:AA27" si="22">_xlfn.QUARTILE.INC(Z2:Z21,3)</f>
        <v>44.024999999999999</v>
      </c>
      <c r="AA27">
        <f t="shared" si="22"/>
        <v>42.65</v>
      </c>
      <c r="AB27">
        <f>_xlfn.QUARTILE.INC(AB2:AB21,3)</f>
        <v>43.1</v>
      </c>
      <c r="AD27">
        <f>_xlfn.QUARTILE.INC(AD2:AD21,3)</f>
        <v>42.575000000000003</v>
      </c>
      <c r="AE27">
        <f>_xlfn.QUARTILE.INC(AE2:AE21,3)</f>
        <v>42.2</v>
      </c>
      <c r="AF27">
        <f t="shared" ref="AF27:AG27" si="23">_xlfn.QUARTILE.INC(AF2:AF21,3)</f>
        <v>40.85</v>
      </c>
      <c r="AG27">
        <f t="shared" si="23"/>
        <v>33.274999999999999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0D68-7F9C-471F-9D93-24C48AA67370}">
  <dimension ref="A1:AG27"/>
  <sheetViews>
    <sheetView workbookViewId="0">
      <selection activeCell="K12" sqref="K12"/>
    </sheetView>
  </sheetViews>
  <sheetFormatPr baseColWidth="10" defaultColWidth="10.6640625" defaultRowHeight="16" x14ac:dyDescent="0.2"/>
  <cols>
    <col min="3" max="3" width="2.33203125" style="2" customWidth="1"/>
    <col min="10" max="10" width="2.33203125" style="2" customWidth="1"/>
    <col min="14" max="14" width="2.33203125" style="2" customWidth="1"/>
    <col min="22" max="22" width="2.33203125" style="2" customWidth="1"/>
    <col min="29" max="29" width="2.33203125" style="2" customWidth="1"/>
  </cols>
  <sheetData>
    <row r="1" spans="1:33" x14ac:dyDescent="0.2">
      <c r="A1" t="s">
        <v>0</v>
      </c>
      <c r="B1" t="s">
        <v>6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K1" t="s">
        <v>11</v>
      </c>
      <c r="L1" t="s">
        <v>28</v>
      </c>
      <c r="M1" t="s">
        <v>10</v>
      </c>
      <c r="O1" t="s">
        <v>1</v>
      </c>
      <c r="P1" t="s">
        <v>29</v>
      </c>
      <c r="Q1" t="s">
        <v>32</v>
      </c>
      <c r="R1" t="s">
        <v>30</v>
      </c>
      <c r="S1" t="s">
        <v>9</v>
      </c>
      <c r="T1" t="s">
        <v>4</v>
      </c>
      <c r="U1" t="s">
        <v>5</v>
      </c>
      <c r="W1" t="s">
        <v>18</v>
      </c>
      <c r="X1" t="s">
        <v>8</v>
      </c>
      <c r="Y1" t="s">
        <v>21</v>
      </c>
      <c r="Z1" t="s">
        <v>20</v>
      </c>
      <c r="AA1" t="s">
        <v>7</v>
      </c>
      <c r="AB1" t="s">
        <v>19</v>
      </c>
      <c r="AD1" t="s">
        <v>2</v>
      </c>
      <c r="AE1" t="s">
        <v>3</v>
      </c>
      <c r="AF1" t="s">
        <v>22</v>
      </c>
      <c r="AG1" t="s">
        <v>31</v>
      </c>
    </row>
    <row r="2" spans="1:33" x14ac:dyDescent="0.2">
      <c r="A2">
        <v>96</v>
      </c>
      <c r="B2">
        <v>96</v>
      </c>
      <c r="D2">
        <v>62.2</v>
      </c>
      <c r="E2">
        <v>59.4</v>
      </c>
      <c r="F2">
        <v>68.099999999999994</v>
      </c>
      <c r="G2">
        <v>51.2</v>
      </c>
      <c r="H2">
        <v>70.599999999999994</v>
      </c>
      <c r="I2">
        <v>63.8</v>
      </c>
      <c r="K2">
        <v>44.4</v>
      </c>
      <c r="L2">
        <v>46.6</v>
      </c>
      <c r="M2">
        <v>46.2</v>
      </c>
      <c r="O2">
        <v>44.4</v>
      </c>
      <c r="P2">
        <v>48.8</v>
      </c>
      <c r="Q2">
        <v>46.6</v>
      </c>
      <c r="R2">
        <v>42.5</v>
      </c>
      <c r="S2">
        <v>43.8</v>
      </c>
      <c r="T2">
        <v>42.5</v>
      </c>
      <c r="U2">
        <v>56.2</v>
      </c>
      <c r="W2">
        <v>42.5</v>
      </c>
      <c r="X2">
        <v>42.5</v>
      </c>
      <c r="Y2">
        <v>34.4</v>
      </c>
      <c r="Z2">
        <v>42.5</v>
      </c>
      <c r="AA2">
        <v>33.799999999999997</v>
      </c>
      <c r="AB2">
        <v>43.1</v>
      </c>
      <c r="AD2">
        <v>32.5</v>
      </c>
      <c r="AE2">
        <v>42.5</v>
      </c>
      <c r="AF2">
        <v>32.5</v>
      </c>
      <c r="AG2">
        <v>38.799999999999997</v>
      </c>
    </row>
    <row r="3" spans="1:33" x14ac:dyDescent="0.2">
      <c r="A3">
        <v>91.8</v>
      </c>
      <c r="B3">
        <v>96</v>
      </c>
      <c r="D3">
        <v>70.599999999999994</v>
      </c>
      <c r="E3">
        <v>54.1</v>
      </c>
      <c r="F3">
        <v>68.099999999999994</v>
      </c>
      <c r="G3">
        <v>59.1</v>
      </c>
      <c r="H3">
        <v>61.9</v>
      </c>
      <c r="I3">
        <v>62.5</v>
      </c>
      <c r="K3">
        <v>42.5</v>
      </c>
      <c r="L3">
        <v>44.4</v>
      </c>
      <c r="M3">
        <v>46.2</v>
      </c>
      <c r="O3">
        <v>48.8</v>
      </c>
      <c r="P3">
        <v>42.5</v>
      </c>
      <c r="Q3">
        <v>43.1</v>
      </c>
      <c r="R3">
        <v>46.9</v>
      </c>
      <c r="S3">
        <v>42.5</v>
      </c>
      <c r="T3">
        <v>45</v>
      </c>
      <c r="U3">
        <v>51.2</v>
      </c>
      <c r="W3">
        <v>42.5</v>
      </c>
      <c r="X3">
        <v>43.1</v>
      </c>
      <c r="Y3">
        <v>33.1</v>
      </c>
      <c r="Z3">
        <v>42.5</v>
      </c>
      <c r="AA3">
        <v>34.1</v>
      </c>
      <c r="AB3">
        <v>32.5</v>
      </c>
      <c r="AD3">
        <v>42.5</v>
      </c>
      <c r="AE3">
        <v>38.799999999999997</v>
      </c>
      <c r="AF3">
        <v>32.5</v>
      </c>
      <c r="AG3">
        <v>32.5</v>
      </c>
    </row>
    <row r="4" spans="1:33" x14ac:dyDescent="0.2">
      <c r="A4">
        <v>96</v>
      </c>
      <c r="B4">
        <v>91.9</v>
      </c>
      <c r="D4">
        <v>61.9</v>
      </c>
      <c r="E4">
        <v>61.9</v>
      </c>
      <c r="F4">
        <v>68.099999999999994</v>
      </c>
      <c r="G4">
        <v>49.1</v>
      </c>
      <c r="H4">
        <v>48.1</v>
      </c>
      <c r="I4">
        <v>73.099999999999994</v>
      </c>
      <c r="K4">
        <v>46.2</v>
      </c>
      <c r="L4">
        <v>0</v>
      </c>
      <c r="M4">
        <v>48.8</v>
      </c>
      <c r="O4">
        <v>42.5</v>
      </c>
      <c r="P4">
        <v>36.200000000000003</v>
      </c>
      <c r="Q4">
        <v>45</v>
      </c>
      <c r="R4">
        <v>46.2</v>
      </c>
      <c r="S4">
        <v>48.8</v>
      </c>
      <c r="T4">
        <v>42.5</v>
      </c>
      <c r="U4">
        <v>42.5</v>
      </c>
      <c r="W4">
        <v>42.5</v>
      </c>
      <c r="X4">
        <v>40.299999999999997</v>
      </c>
      <c r="Y4">
        <v>32.5</v>
      </c>
      <c r="Z4">
        <v>45</v>
      </c>
      <c r="AA4">
        <v>34.1</v>
      </c>
      <c r="AB4">
        <v>42.5</v>
      </c>
      <c r="AD4">
        <v>42.5</v>
      </c>
      <c r="AE4">
        <v>32.5</v>
      </c>
      <c r="AF4">
        <v>32.5</v>
      </c>
      <c r="AG4">
        <v>30.9</v>
      </c>
    </row>
    <row r="5" spans="1:33" x14ac:dyDescent="0.2">
      <c r="A5">
        <v>96</v>
      </c>
      <c r="B5">
        <v>96</v>
      </c>
      <c r="D5">
        <v>68.099999999999994</v>
      </c>
      <c r="E5">
        <v>56.9</v>
      </c>
      <c r="F5">
        <v>62.2</v>
      </c>
      <c r="G5">
        <v>58.8</v>
      </c>
      <c r="H5">
        <v>63.8</v>
      </c>
      <c r="I5">
        <v>59.4</v>
      </c>
      <c r="K5">
        <v>46.2</v>
      </c>
      <c r="L5">
        <v>0</v>
      </c>
      <c r="M5">
        <v>42.5</v>
      </c>
      <c r="O5">
        <v>42.5</v>
      </c>
      <c r="P5">
        <v>42.5</v>
      </c>
      <c r="Q5">
        <v>46.9</v>
      </c>
      <c r="R5">
        <v>42.5</v>
      </c>
      <c r="S5">
        <v>44.4</v>
      </c>
      <c r="T5">
        <v>51.2</v>
      </c>
      <c r="U5">
        <v>45</v>
      </c>
      <c r="W5">
        <v>42.5</v>
      </c>
      <c r="X5">
        <v>40.9</v>
      </c>
      <c r="Y5">
        <v>33.799999999999997</v>
      </c>
      <c r="Z5">
        <v>42.5</v>
      </c>
      <c r="AA5">
        <v>32.5</v>
      </c>
      <c r="AB5">
        <v>32.5</v>
      </c>
      <c r="AD5">
        <v>42.5</v>
      </c>
      <c r="AE5">
        <v>42.5</v>
      </c>
      <c r="AF5">
        <v>32.5</v>
      </c>
      <c r="AG5">
        <v>32.5</v>
      </c>
    </row>
    <row r="6" spans="1:33" x14ac:dyDescent="0.2">
      <c r="A6">
        <v>96</v>
      </c>
      <c r="B6">
        <v>96</v>
      </c>
      <c r="D6">
        <v>61.6</v>
      </c>
      <c r="E6">
        <v>61.9</v>
      </c>
      <c r="F6">
        <v>61.9</v>
      </c>
      <c r="G6">
        <v>65.599999999999994</v>
      </c>
      <c r="H6">
        <v>59.4</v>
      </c>
      <c r="I6">
        <v>61.9</v>
      </c>
      <c r="K6">
        <v>44.4</v>
      </c>
      <c r="L6">
        <v>42.5</v>
      </c>
      <c r="M6">
        <v>44.4</v>
      </c>
      <c r="O6">
        <v>42.5</v>
      </c>
      <c r="P6">
        <v>42.5</v>
      </c>
      <c r="Q6">
        <v>34.4</v>
      </c>
      <c r="R6">
        <v>46.6</v>
      </c>
      <c r="S6">
        <v>45</v>
      </c>
      <c r="T6">
        <v>42.5</v>
      </c>
      <c r="U6">
        <v>46.2</v>
      </c>
      <c r="W6">
        <v>44.4</v>
      </c>
      <c r="X6">
        <v>34.1</v>
      </c>
      <c r="Y6">
        <v>33.4</v>
      </c>
      <c r="Z6">
        <v>32.5</v>
      </c>
      <c r="AA6">
        <v>42.5</v>
      </c>
      <c r="AB6">
        <v>45</v>
      </c>
      <c r="AD6">
        <v>42.5</v>
      </c>
      <c r="AE6">
        <v>39.1</v>
      </c>
      <c r="AF6">
        <v>32.5</v>
      </c>
      <c r="AG6">
        <v>28.8</v>
      </c>
    </row>
    <row r="7" spans="1:33" x14ac:dyDescent="0.2">
      <c r="A7">
        <v>96</v>
      </c>
      <c r="B7">
        <v>91.9</v>
      </c>
      <c r="D7">
        <v>61.9</v>
      </c>
      <c r="E7">
        <v>51.2</v>
      </c>
      <c r="F7">
        <v>56.2</v>
      </c>
      <c r="G7">
        <v>51.2</v>
      </c>
      <c r="H7">
        <v>51.2</v>
      </c>
      <c r="I7">
        <v>61.6</v>
      </c>
      <c r="K7">
        <v>45.6</v>
      </c>
      <c r="L7">
        <v>40</v>
      </c>
      <c r="M7">
        <v>46.2</v>
      </c>
      <c r="O7">
        <v>42.5</v>
      </c>
      <c r="P7">
        <v>51.2</v>
      </c>
      <c r="Q7">
        <v>45.3</v>
      </c>
      <c r="R7">
        <v>46.6</v>
      </c>
      <c r="S7">
        <v>43.8</v>
      </c>
      <c r="T7">
        <v>42.5</v>
      </c>
      <c r="U7">
        <v>42.5</v>
      </c>
      <c r="W7">
        <v>46.2</v>
      </c>
      <c r="X7">
        <v>42.5</v>
      </c>
      <c r="Y7">
        <v>42.5</v>
      </c>
      <c r="Z7">
        <v>42.5</v>
      </c>
      <c r="AA7">
        <v>33.799999999999997</v>
      </c>
      <c r="AB7">
        <v>42.5</v>
      </c>
      <c r="AD7">
        <v>38.4</v>
      </c>
      <c r="AE7">
        <v>38.799999999999997</v>
      </c>
      <c r="AF7">
        <v>32.5</v>
      </c>
      <c r="AG7">
        <v>32.5</v>
      </c>
    </row>
    <row r="8" spans="1:33" x14ac:dyDescent="0.2">
      <c r="A8">
        <v>91.9</v>
      </c>
      <c r="B8">
        <v>91.9</v>
      </c>
      <c r="D8">
        <v>63.1</v>
      </c>
      <c r="E8">
        <v>61.9</v>
      </c>
      <c r="F8">
        <v>61.9</v>
      </c>
      <c r="G8">
        <v>61.9</v>
      </c>
      <c r="H8">
        <v>56.9</v>
      </c>
      <c r="I8">
        <v>61.9</v>
      </c>
      <c r="K8">
        <v>44.7</v>
      </c>
      <c r="L8">
        <v>44.4</v>
      </c>
      <c r="M8">
        <v>48.8</v>
      </c>
      <c r="O8">
        <v>36.200000000000003</v>
      </c>
      <c r="P8">
        <v>46.2</v>
      </c>
      <c r="Q8">
        <v>43.1</v>
      </c>
      <c r="R8">
        <v>46.2</v>
      </c>
      <c r="S8">
        <v>48.8</v>
      </c>
      <c r="T8">
        <v>43.1</v>
      </c>
      <c r="U8">
        <v>42.5</v>
      </c>
      <c r="W8">
        <v>34.4</v>
      </c>
      <c r="X8">
        <v>43.1</v>
      </c>
      <c r="Y8">
        <v>42.5</v>
      </c>
      <c r="Z8">
        <v>33.799999999999997</v>
      </c>
      <c r="AA8">
        <v>40.299999999999997</v>
      </c>
      <c r="AB8">
        <v>42.5</v>
      </c>
      <c r="AD8">
        <v>40.6</v>
      </c>
      <c r="AE8">
        <v>32.5</v>
      </c>
      <c r="AF8">
        <v>32.5</v>
      </c>
      <c r="AG8">
        <v>29.4</v>
      </c>
    </row>
    <row r="9" spans="1:33" x14ac:dyDescent="0.2">
      <c r="A9">
        <v>96</v>
      </c>
      <c r="B9">
        <v>91.9</v>
      </c>
      <c r="D9">
        <v>61.9</v>
      </c>
      <c r="E9">
        <v>59.4</v>
      </c>
      <c r="F9">
        <v>63.1</v>
      </c>
      <c r="G9">
        <v>51.2</v>
      </c>
      <c r="H9">
        <v>62.2</v>
      </c>
      <c r="I9">
        <v>61.9</v>
      </c>
      <c r="K9">
        <v>35</v>
      </c>
      <c r="L9">
        <v>46.2</v>
      </c>
      <c r="M9">
        <v>46.2</v>
      </c>
      <c r="O9">
        <v>36.200000000000003</v>
      </c>
      <c r="P9">
        <v>42.5</v>
      </c>
      <c r="Q9">
        <v>42.5</v>
      </c>
      <c r="R9">
        <v>53.8</v>
      </c>
      <c r="S9">
        <v>43.1</v>
      </c>
      <c r="T9">
        <v>40.299999999999997</v>
      </c>
      <c r="U9">
        <v>46.2</v>
      </c>
      <c r="W9">
        <v>43.1</v>
      </c>
      <c r="X9">
        <v>42.5</v>
      </c>
      <c r="Y9">
        <v>33.4</v>
      </c>
      <c r="Z9">
        <v>38.799999999999997</v>
      </c>
      <c r="AA9">
        <v>33.799999999999997</v>
      </c>
      <c r="AB9">
        <v>42.5</v>
      </c>
      <c r="AD9">
        <v>40.6</v>
      </c>
      <c r="AE9">
        <v>32.5</v>
      </c>
      <c r="AF9">
        <v>32.5</v>
      </c>
      <c r="AG9">
        <v>32.5</v>
      </c>
    </row>
    <row r="10" spans="1:33" x14ac:dyDescent="0.2">
      <c r="A10">
        <v>96</v>
      </c>
      <c r="B10">
        <v>91.9</v>
      </c>
      <c r="D10">
        <v>48.8</v>
      </c>
      <c r="E10">
        <v>63.8</v>
      </c>
      <c r="F10">
        <v>56.2</v>
      </c>
      <c r="G10">
        <v>56.9</v>
      </c>
      <c r="H10">
        <v>56.9</v>
      </c>
      <c r="I10">
        <v>61.9</v>
      </c>
      <c r="K10">
        <v>40</v>
      </c>
      <c r="L10">
        <v>0</v>
      </c>
      <c r="M10">
        <v>45.6</v>
      </c>
      <c r="O10">
        <v>42.5</v>
      </c>
      <c r="P10">
        <v>44.7</v>
      </c>
      <c r="Q10">
        <v>45</v>
      </c>
      <c r="R10">
        <v>42.5</v>
      </c>
      <c r="S10">
        <v>46.2</v>
      </c>
      <c r="T10">
        <v>42.2</v>
      </c>
      <c r="U10">
        <v>42.5</v>
      </c>
      <c r="W10">
        <v>42.5</v>
      </c>
      <c r="X10">
        <v>42.5</v>
      </c>
      <c r="Y10">
        <v>32.5</v>
      </c>
      <c r="Z10">
        <v>32.5</v>
      </c>
      <c r="AA10">
        <v>32.5</v>
      </c>
      <c r="AB10">
        <v>42.5</v>
      </c>
      <c r="AD10">
        <v>42.5</v>
      </c>
      <c r="AE10">
        <v>32.5</v>
      </c>
      <c r="AF10">
        <v>32.5</v>
      </c>
      <c r="AG10">
        <v>32.5</v>
      </c>
    </row>
    <row r="11" spans="1:33" x14ac:dyDescent="0.2">
      <c r="A11">
        <v>91.8</v>
      </c>
      <c r="B11">
        <v>91.9</v>
      </c>
      <c r="D11">
        <v>68.099999999999994</v>
      </c>
      <c r="E11">
        <v>51.2</v>
      </c>
      <c r="F11">
        <v>60.6</v>
      </c>
      <c r="G11">
        <v>61.9</v>
      </c>
      <c r="H11">
        <v>61.9</v>
      </c>
      <c r="I11">
        <v>62.5</v>
      </c>
      <c r="K11">
        <v>42.5</v>
      </c>
      <c r="L11">
        <v>0</v>
      </c>
      <c r="M11">
        <v>45.6</v>
      </c>
      <c r="O11">
        <v>41.6</v>
      </c>
      <c r="P11">
        <v>44.4</v>
      </c>
      <c r="Q11">
        <v>46.2</v>
      </c>
      <c r="R11">
        <v>44.4</v>
      </c>
      <c r="S11">
        <v>42.5</v>
      </c>
      <c r="T11">
        <v>43.8</v>
      </c>
      <c r="U11">
        <v>42.5</v>
      </c>
      <c r="W11">
        <v>42.2</v>
      </c>
      <c r="X11">
        <v>42.5</v>
      </c>
      <c r="Y11">
        <v>34.4</v>
      </c>
      <c r="Z11">
        <v>42.5</v>
      </c>
      <c r="AA11">
        <v>32.5</v>
      </c>
      <c r="AB11">
        <v>42.5</v>
      </c>
      <c r="AD11">
        <v>44.4</v>
      </c>
      <c r="AE11">
        <v>42.5</v>
      </c>
      <c r="AF11">
        <v>32.5</v>
      </c>
      <c r="AG11">
        <v>32.5</v>
      </c>
    </row>
    <row r="12" spans="1:33" x14ac:dyDescent="0.2">
      <c r="A12">
        <v>93.9</v>
      </c>
      <c r="B12">
        <v>93.9</v>
      </c>
      <c r="D12">
        <v>66.900000000000006</v>
      </c>
      <c r="E12">
        <v>56.9</v>
      </c>
      <c r="F12">
        <v>61.9</v>
      </c>
      <c r="G12">
        <v>62.5</v>
      </c>
      <c r="H12">
        <v>61.9</v>
      </c>
      <c r="I12">
        <v>65.599999999999994</v>
      </c>
      <c r="K12">
        <v>42.5</v>
      </c>
      <c r="L12">
        <v>0</v>
      </c>
      <c r="M12">
        <v>46.2</v>
      </c>
      <c r="O12">
        <v>42.5</v>
      </c>
      <c r="P12">
        <v>51.2</v>
      </c>
      <c r="Q12">
        <v>42.5</v>
      </c>
      <c r="R12">
        <v>56.2</v>
      </c>
      <c r="S12">
        <v>43.1</v>
      </c>
      <c r="T12">
        <v>43.1</v>
      </c>
      <c r="U12">
        <v>43.1</v>
      </c>
      <c r="W12">
        <v>42.5</v>
      </c>
      <c r="X12">
        <v>46.2</v>
      </c>
      <c r="Y12">
        <v>32.5</v>
      </c>
      <c r="Z12">
        <v>46.2</v>
      </c>
      <c r="AA12">
        <v>42.5</v>
      </c>
      <c r="AB12">
        <v>42.5</v>
      </c>
      <c r="AD12">
        <v>42.5</v>
      </c>
      <c r="AE12">
        <v>42.5</v>
      </c>
      <c r="AF12">
        <v>32.5</v>
      </c>
      <c r="AG12">
        <v>30.9</v>
      </c>
    </row>
    <row r="13" spans="1:33" x14ac:dyDescent="0.2">
      <c r="A13">
        <v>96</v>
      </c>
      <c r="B13">
        <v>93.9</v>
      </c>
      <c r="D13">
        <v>68.099999999999994</v>
      </c>
      <c r="E13">
        <v>61.9</v>
      </c>
      <c r="F13">
        <v>62.5</v>
      </c>
      <c r="G13">
        <v>59.4</v>
      </c>
      <c r="H13">
        <v>51.2</v>
      </c>
      <c r="I13">
        <v>61.6</v>
      </c>
      <c r="K13">
        <v>46.6</v>
      </c>
      <c r="L13">
        <v>44.4</v>
      </c>
      <c r="M13">
        <v>46.2</v>
      </c>
      <c r="O13">
        <v>42.5</v>
      </c>
      <c r="P13">
        <v>43.1</v>
      </c>
      <c r="Q13">
        <v>32.5</v>
      </c>
      <c r="R13">
        <v>42.5</v>
      </c>
      <c r="S13">
        <v>46.2</v>
      </c>
      <c r="T13">
        <v>42.5</v>
      </c>
      <c r="U13">
        <v>42.5</v>
      </c>
      <c r="W13">
        <v>42.5</v>
      </c>
      <c r="X13">
        <v>41.6</v>
      </c>
      <c r="Y13">
        <v>32.5</v>
      </c>
      <c r="Z13">
        <v>43.1</v>
      </c>
      <c r="AA13">
        <v>42.5</v>
      </c>
      <c r="AB13">
        <v>46.6</v>
      </c>
      <c r="AD13">
        <v>42.5</v>
      </c>
      <c r="AE13">
        <v>32.5</v>
      </c>
      <c r="AF13">
        <v>32.5</v>
      </c>
      <c r="AG13">
        <v>32.5</v>
      </c>
    </row>
    <row r="14" spans="1:33" x14ac:dyDescent="0.2">
      <c r="A14">
        <v>96</v>
      </c>
      <c r="B14">
        <v>91.8</v>
      </c>
      <c r="D14">
        <v>68.099999999999994</v>
      </c>
      <c r="E14">
        <v>61.9</v>
      </c>
      <c r="F14">
        <v>60.6</v>
      </c>
      <c r="G14">
        <v>59.4</v>
      </c>
      <c r="H14">
        <v>61.9</v>
      </c>
      <c r="I14">
        <v>61.9</v>
      </c>
      <c r="K14">
        <v>42.5</v>
      </c>
      <c r="L14">
        <v>46.2</v>
      </c>
      <c r="M14">
        <v>51.2</v>
      </c>
      <c r="O14">
        <v>42.5</v>
      </c>
      <c r="P14">
        <v>42.5</v>
      </c>
      <c r="Q14">
        <v>42.5</v>
      </c>
      <c r="R14">
        <v>42.5</v>
      </c>
      <c r="S14">
        <v>45</v>
      </c>
      <c r="T14">
        <v>42.5</v>
      </c>
      <c r="U14">
        <v>51.2</v>
      </c>
      <c r="W14">
        <v>33.799999999999997</v>
      </c>
      <c r="X14">
        <v>40.299999999999997</v>
      </c>
      <c r="Y14">
        <v>34.1</v>
      </c>
      <c r="Z14">
        <v>42.5</v>
      </c>
      <c r="AA14">
        <v>42.5</v>
      </c>
      <c r="AB14">
        <v>42.5</v>
      </c>
      <c r="AD14">
        <v>40.6</v>
      </c>
      <c r="AE14">
        <v>40.299999999999997</v>
      </c>
      <c r="AF14">
        <v>32.5</v>
      </c>
      <c r="AG14">
        <v>32.5</v>
      </c>
    </row>
    <row r="15" spans="1:33" x14ac:dyDescent="0.2">
      <c r="A15">
        <v>91.9</v>
      </c>
      <c r="B15">
        <v>91.9</v>
      </c>
      <c r="D15">
        <v>61.9</v>
      </c>
      <c r="E15">
        <v>51.2</v>
      </c>
      <c r="F15">
        <v>60.6</v>
      </c>
      <c r="G15">
        <v>59.1</v>
      </c>
      <c r="H15">
        <v>58.8</v>
      </c>
      <c r="I15">
        <v>51.9</v>
      </c>
      <c r="K15">
        <v>44.4</v>
      </c>
      <c r="L15">
        <v>0</v>
      </c>
      <c r="M15">
        <v>46.2</v>
      </c>
      <c r="O15">
        <v>42.5</v>
      </c>
      <c r="P15">
        <v>42.5</v>
      </c>
      <c r="Q15">
        <v>33.799999999999997</v>
      </c>
      <c r="R15">
        <v>46.2</v>
      </c>
      <c r="S15">
        <v>42.5</v>
      </c>
      <c r="T15">
        <v>46.2</v>
      </c>
      <c r="U15">
        <v>43.1</v>
      </c>
      <c r="W15">
        <v>42.5</v>
      </c>
      <c r="X15">
        <v>42.5</v>
      </c>
      <c r="Y15">
        <v>34.4</v>
      </c>
      <c r="Z15">
        <v>42.5</v>
      </c>
      <c r="AA15">
        <v>32.5</v>
      </c>
      <c r="AB15">
        <v>42.5</v>
      </c>
      <c r="AD15">
        <v>32.5</v>
      </c>
      <c r="AE15">
        <v>40.6</v>
      </c>
      <c r="AF15">
        <v>32.5</v>
      </c>
      <c r="AG15">
        <v>30.9</v>
      </c>
    </row>
    <row r="16" spans="1:33" x14ac:dyDescent="0.2">
      <c r="A16">
        <v>96</v>
      </c>
      <c r="B16">
        <v>96</v>
      </c>
      <c r="D16">
        <v>61.9</v>
      </c>
      <c r="E16">
        <v>63.8</v>
      </c>
      <c r="F16">
        <v>60.6</v>
      </c>
      <c r="G16">
        <v>61.9</v>
      </c>
      <c r="H16">
        <v>51.2</v>
      </c>
      <c r="I16">
        <v>61.9</v>
      </c>
      <c r="K16">
        <v>46.2</v>
      </c>
      <c r="L16">
        <v>46.2</v>
      </c>
      <c r="M16">
        <v>42.5</v>
      </c>
      <c r="O16">
        <v>42.5</v>
      </c>
      <c r="P16">
        <v>46.2</v>
      </c>
      <c r="Q16">
        <v>40.299999999999997</v>
      </c>
      <c r="R16">
        <v>56.2</v>
      </c>
      <c r="S16">
        <v>44.4</v>
      </c>
      <c r="T16">
        <v>43.1</v>
      </c>
      <c r="U16">
        <v>42.5</v>
      </c>
      <c r="W16">
        <v>41.9</v>
      </c>
      <c r="X16">
        <v>42.5</v>
      </c>
      <c r="Y16">
        <v>42.5</v>
      </c>
      <c r="Z16">
        <v>39.1</v>
      </c>
      <c r="AA16">
        <v>32.5</v>
      </c>
      <c r="AB16">
        <v>45</v>
      </c>
      <c r="AD16">
        <v>32.5</v>
      </c>
      <c r="AE16">
        <v>42.5</v>
      </c>
      <c r="AF16">
        <v>32.5</v>
      </c>
      <c r="AG16">
        <v>28.1</v>
      </c>
    </row>
    <row r="17" spans="1:33" x14ac:dyDescent="0.2">
      <c r="A17">
        <v>91.9</v>
      </c>
      <c r="B17">
        <v>93.9</v>
      </c>
      <c r="D17">
        <v>63.8</v>
      </c>
      <c r="E17">
        <v>51.2</v>
      </c>
      <c r="F17">
        <v>60.6</v>
      </c>
      <c r="G17">
        <v>63.1</v>
      </c>
      <c r="H17">
        <v>46.6</v>
      </c>
      <c r="I17">
        <v>64.400000000000006</v>
      </c>
      <c r="K17">
        <v>46.2</v>
      </c>
      <c r="L17">
        <v>44.4</v>
      </c>
      <c r="M17">
        <v>46.2</v>
      </c>
      <c r="O17">
        <v>42.5</v>
      </c>
      <c r="P17">
        <v>42.5</v>
      </c>
      <c r="Q17">
        <v>45</v>
      </c>
      <c r="R17">
        <v>49.1</v>
      </c>
      <c r="S17">
        <v>44.4</v>
      </c>
      <c r="T17">
        <v>40.299999999999997</v>
      </c>
      <c r="U17">
        <v>42.5</v>
      </c>
      <c r="W17">
        <v>32.200000000000003</v>
      </c>
      <c r="X17">
        <v>40.6</v>
      </c>
      <c r="Y17">
        <v>32.5</v>
      </c>
      <c r="Z17">
        <v>42.5</v>
      </c>
      <c r="AA17">
        <v>33.4</v>
      </c>
      <c r="AB17">
        <v>42.5</v>
      </c>
      <c r="AD17">
        <v>38.799999999999997</v>
      </c>
      <c r="AE17">
        <v>32.5</v>
      </c>
      <c r="AF17">
        <v>32.5</v>
      </c>
      <c r="AG17">
        <v>26.9</v>
      </c>
    </row>
    <row r="18" spans="1:33" x14ac:dyDescent="0.2">
      <c r="A18">
        <v>96</v>
      </c>
      <c r="B18">
        <v>93.9</v>
      </c>
      <c r="D18">
        <v>53.8</v>
      </c>
      <c r="E18">
        <v>61.9</v>
      </c>
      <c r="F18">
        <v>57.8</v>
      </c>
      <c r="G18">
        <v>65.599999999999994</v>
      </c>
      <c r="H18">
        <v>56.9</v>
      </c>
      <c r="I18">
        <v>61.6</v>
      </c>
      <c r="K18">
        <v>51.2</v>
      </c>
      <c r="L18">
        <v>46.2</v>
      </c>
      <c r="M18">
        <v>51.2</v>
      </c>
      <c r="O18">
        <v>46.2</v>
      </c>
      <c r="P18">
        <v>42.5</v>
      </c>
      <c r="Q18">
        <v>32.5</v>
      </c>
      <c r="R18">
        <v>46.9</v>
      </c>
      <c r="S18">
        <v>42.5</v>
      </c>
      <c r="T18">
        <v>42.5</v>
      </c>
      <c r="U18">
        <v>40.6</v>
      </c>
      <c r="W18">
        <v>42.5</v>
      </c>
      <c r="X18">
        <v>42.5</v>
      </c>
      <c r="Y18">
        <v>34.1</v>
      </c>
      <c r="Z18">
        <v>36.9</v>
      </c>
      <c r="AA18">
        <v>42.5</v>
      </c>
      <c r="AB18">
        <v>45</v>
      </c>
      <c r="AD18">
        <v>32.5</v>
      </c>
      <c r="AE18">
        <v>33.1</v>
      </c>
      <c r="AF18">
        <v>32.5</v>
      </c>
      <c r="AG18">
        <v>32.5</v>
      </c>
    </row>
    <row r="19" spans="1:33" x14ac:dyDescent="0.2">
      <c r="A19">
        <v>96</v>
      </c>
      <c r="B19">
        <v>93.9</v>
      </c>
      <c r="D19">
        <v>61.9</v>
      </c>
      <c r="E19">
        <v>63.8</v>
      </c>
      <c r="F19">
        <v>61.9</v>
      </c>
      <c r="G19">
        <v>61.9</v>
      </c>
      <c r="H19">
        <v>70.599999999999994</v>
      </c>
      <c r="I19">
        <v>57.8</v>
      </c>
      <c r="K19">
        <v>48.8</v>
      </c>
      <c r="L19">
        <v>0</v>
      </c>
      <c r="M19">
        <v>46.2</v>
      </c>
      <c r="O19">
        <v>42.5</v>
      </c>
      <c r="P19">
        <v>46.2</v>
      </c>
      <c r="Q19">
        <v>45.3</v>
      </c>
      <c r="R19">
        <v>42.5</v>
      </c>
      <c r="S19">
        <v>44.4</v>
      </c>
      <c r="T19">
        <v>42.5</v>
      </c>
      <c r="U19">
        <v>42.5</v>
      </c>
      <c r="W19">
        <v>46.2</v>
      </c>
      <c r="X19">
        <v>44.4</v>
      </c>
      <c r="Y19">
        <v>34.4</v>
      </c>
      <c r="Z19">
        <v>34.1</v>
      </c>
      <c r="AA19">
        <v>42.5</v>
      </c>
      <c r="AB19">
        <v>42.5</v>
      </c>
      <c r="AD19">
        <v>32.5</v>
      </c>
      <c r="AE19">
        <v>42.5</v>
      </c>
      <c r="AF19">
        <v>32.5</v>
      </c>
      <c r="AG19">
        <v>28.8</v>
      </c>
    </row>
    <row r="20" spans="1:33" x14ac:dyDescent="0.2">
      <c r="A20">
        <v>91.9</v>
      </c>
      <c r="B20">
        <v>91.6</v>
      </c>
      <c r="D20">
        <v>62.5</v>
      </c>
      <c r="E20">
        <v>61.9</v>
      </c>
      <c r="F20">
        <v>63.1</v>
      </c>
      <c r="G20">
        <v>53.4</v>
      </c>
      <c r="H20">
        <v>61.9</v>
      </c>
      <c r="I20">
        <v>61.6</v>
      </c>
      <c r="K20">
        <v>46.2</v>
      </c>
      <c r="L20">
        <v>0</v>
      </c>
      <c r="M20">
        <v>45</v>
      </c>
      <c r="O20">
        <v>42.5</v>
      </c>
      <c r="P20">
        <v>42.5</v>
      </c>
      <c r="Q20">
        <v>51.2</v>
      </c>
      <c r="R20">
        <v>42.5</v>
      </c>
      <c r="S20">
        <v>42.5</v>
      </c>
      <c r="T20">
        <v>46.2</v>
      </c>
      <c r="U20">
        <v>42.5</v>
      </c>
      <c r="W20">
        <v>42.5</v>
      </c>
      <c r="X20">
        <v>45</v>
      </c>
      <c r="Y20">
        <v>33.1</v>
      </c>
      <c r="Z20">
        <v>32.5</v>
      </c>
      <c r="AA20">
        <v>38.799999999999997</v>
      </c>
      <c r="AB20">
        <v>42.5</v>
      </c>
      <c r="AD20">
        <v>38.799999999999997</v>
      </c>
      <c r="AE20">
        <v>46.2</v>
      </c>
      <c r="AF20">
        <v>33.1</v>
      </c>
      <c r="AG20">
        <v>32.5</v>
      </c>
    </row>
    <row r="21" spans="1:33" x14ac:dyDescent="0.2">
      <c r="A21">
        <v>96</v>
      </c>
      <c r="B21">
        <v>93.9</v>
      </c>
      <c r="D21">
        <v>63.8</v>
      </c>
      <c r="E21">
        <v>56.9</v>
      </c>
      <c r="F21">
        <v>61.9</v>
      </c>
      <c r="G21">
        <v>63.8</v>
      </c>
      <c r="H21">
        <v>61.9</v>
      </c>
      <c r="I21">
        <v>61.9</v>
      </c>
      <c r="K21">
        <v>47.5</v>
      </c>
      <c r="L21">
        <v>0</v>
      </c>
      <c r="M21">
        <v>42.5</v>
      </c>
      <c r="O21">
        <v>42.5</v>
      </c>
      <c r="P21">
        <v>44.4</v>
      </c>
      <c r="Q21">
        <v>44.7</v>
      </c>
      <c r="R21">
        <v>51.2</v>
      </c>
      <c r="S21">
        <v>43.1</v>
      </c>
      <c r="T21">
        <v>42.5</v>
      </c>
      <c r="U21">
        <v>46.6</v>
      </c>
      <c r="W21">
        <v>46.2</v>
      </c>
      <c r="X21">
        <v>34.700000000000003</v>
      </c>
      <c r="Y21">
        <v>34.1</v>
      </c>
      <c r="Z21">
        <v>38.799999999999997</v>
      </c>
      <c r="AA21">
        <v>32.5</v>
      </c>
      <c r="AB21">
        <v>42.5</v>
      </c>
      <c r="AD21">
        <v>38.4</v>
      </c>
      <c r="AE21">
        <v>32.5</v>
      </c>
      <c r="AF21">
        <v>32.5</v>
      </c>
      <c r="AG21">
        <v>32.5</v>
      </c>
    </row>
    <row r="23" spans="1:33" x14ac:dyDescent="0.2">
      <c r="A23">
        <f>AVERAGE(A2:A21)</f>
        <v>94.655000000000001</v>
      </c>
      <c r="B23">
        <f>AVERAGE(B2:B21)</f>
        <v>93.505000000000024</v>
      </c>
      <c r="D23">
        <f t="shared" ref="D23:I23" si="0">AVERAGE(D2:D21)</f>
        <v>63.045000000000002</v>
      </c>
      <c r="E23">
        <f t="shared" si="0"/>
        <v>58.655000000000008</v>
      </c>
      <c r="F23">
        <f t="shared" si="0"/>
        <v>61.895000000000003</v>
      </c>
      <c r="G23">
        <f t="shared" si="0"/>
        <v>58.85</v>
      </c>
      <c r="H23">
        <f t="shared" si="0"/>
        <v>58.79</v>
      </c>
      <c r="I23">
        <f t="shared" si="0"/>
        <v>62.034999999999989</v>
      </c>
      <c r="K23">
        <f>AVERAGE(K2:K21)</f>
        <v>44.680000000000007</v>
      </c>
      <c r="L23">
        <f>AVERAGE(L2:L21)</f>
        <v>24.574999999999996</v>
      </c>
      <c r="M23">
        <f t="shared" ref="M23" si="1">AVERAGE(M2:M21)</f>
        <v>46.195000000000014</v>
      </c>
      <c r="O23">
        <f>AVERAGE(O2:O21)</f>
        <v>42.42</v>
      </c>
      <c r="P23">
        <f t="shared" ref="P23:R23" si="2">AVERAGE(P2:P21)</f>
        <v>44.255000000000003</v>
      </c>
      <c r="Q23">
        <f t="shared" si="2"/>
        <v>42.42</v>
      </c>
      <c r="R23">
        <f t="shared" si="2"/>
        <v>46.7</v>
      </c>
      <c r="S23">
        <f>AVERAGE(S2:S21)</f>
        <v>44.35</v>
      </c>
      <c r="T23">
        <f>AVERAGE(T2:T21)</f>
        <v>43.350000000000009</v>
      </c>
      <c r="U23">
        <f t="shared" ref="U23" si="3">AVERAGE(U2:U21)</f>
        <v>44.720000000000013</v>
      </c>
      <c r="W23">
        <f>AVERAGE(W2:W21)</f>
        <v>41.780000000000008</v>
      </c>
      <c r="X23">
        <f>AVERAGE(X2:X21)</f>
        <v>41.715000000000003</v>
      </c>
      <c r="Y23">
        <f>AVERAGE(Y2:Y21)</f>
        <v>34.835000000000001</v>
      </c>
      <c r="Z23">
        <f t="shared" ref="Z23:AA23" si="4">AVERAGE(Z2:Z21)</f>
        <v>39.665000000000006</v>
      </c>
      <c r="AA23">
        <f t="shared" si="4"/>
        <v>36.605000000000004</v>
      </c>
      <c r="AB23">
        <f>AVERAGE(AB2:AB21)</f>
        <v>42.11</v>
      </c>
      <c r="AD23">
        <f>AVERAGE(AD2:AD21)</f>
        <v>39.029999999999994</v>
      </c>
      <c r="AE23">
        <f>AVERAGE(AE2:AE21)</f>
        <v>37.970000000000006</v>
      </c>
      <c r="AF23">
        <f t="shared" ref="AF23:AG23" si="5">AVERAGE(AF2:AF21)</f>
        <v>32.53</v>
      </c>
      <c r="AG23">
        <f t="shared" si="5"/>
        <v>31.549999999999994</v>
      </c>
    </row>
    <row r="25" spans="1:33" x14ac:dyDescent="0.2">
      <c r="A25">
        <f>_xlfn.QUARTILE.INC(A2:A21,1)</f>
        <v>91.9</v>
      </c>
      <c r="B25">
        <f>_xlfn.QUARTILE.INC(B2:B21,1)</f>
        <v>91.9</v>
      </c>
      <c r="D25">
        <f t="shared" ref="D25:I25" si="6">_xlfn.QUARTILE.INC(D2:D21,1)</f>
        <v>61.9</v>
      </c>
      <c r="E25">
        <f t="shared" si="6"/>
        <v>56.2</v>
      </c>
      <c r="F25">
        <f t="shared" si="6"/>
        <v>60.6</v>
      </c>
      <c r="G25">
        <f t="shared" si="6"/>
        <v>56.024999999999999</v>
      </c>
      <c r="H25">
        <f t="shared" si="6"/>
        <v>55.475000000000001</v>
      </c>
      <c r="I25">
        <f t="shared" si="6"/>
        <v>61.6</v>
      </c>
      <c r="K25">
        <f>_xlfn.QUARTILE.INC(K2:K21,1)</f>
        <v>42.5</v>
      </c>
      <c r="L25">
        <f>_xlfn.QUARTILE.INC(L2:L21,1)</f>
        <v>0</v>
      </c>
      <c r="M25">
        <f t="shared" ref="M25" si="7">_xlfn.QUARTILE.INC(M2:M21,1)</f>
        <v>45.45</v>
      </c>
      <c r="O25">
        <f>_xlfn.QUARTILE.INC(O2:O21,1)</f>
        <v>42.5</v>
      </c>
      <c r="P25">
        <f t="shared" ref="P25:R25" si="8">_xlfn.QUARTILE.INC(P2:P21,1)</f>
        <v>42.5</v>
      </c>
      <c r="Q25">
        <f t="shared" si="8"/>
        <v>41.95</v>
      </c>
      <c r="R25">
        <f t="shared" si="8"/>
        <v>42.5</v>
      </c>
      <c r="S25">
        <f>_xlfn.QUARTILE.INC(S2:S21,1)</f>
        <v>42.95</v>
      </c>
      <c r="T25">
        <f>_xlfn.QUARTILE.INC(T2:T21,1)</f>
        <v>42.5</v>
      </c>
      <c r="U25">
        <f t="shared" ref="U25" si="9">_xlfn.QUARTILE.INC(U2:U21,1)</f>
        <v>42.5</v>
      </c>
      <c r="W25">
        <f>_xlfn.QUARTILE.INC(W2:W21,1)</f>
        <v>42.424999999999997</v>
      </c>
      <c r="X25">
        <f>_xlfn.QUARTILE.INC(X2:X21,1)</f>
        <v>40.825000000000003</v>
      </c>
      <c r="Y25">
        <f>_xlfn.QUARTILE.INC(Y2:Y21,1)</f>
        <v>32.950000000000003</v>
      </c>
      <c r="Z25">
        <f t="shared" ref="Z25:AA25" si="10">_xlfn.QUARTILE.INC(Z2:Z21,1)</f>
        <v>36.200000000000003</v>
      </c>
      <c r="AA25">
        <f t="shared" si="10"/>
        <v>32.5</v>
      </c>
      <c r="AB25">
        <f>_xlfn.QUARTILE.INC(AB2:AB21,1)</f>
        <v>42.5</v>
      </c>
      <c r="AD25">
        <f>_xlfn.QUARTILE.INC(AD2:AD21,1)</f>
        <v>36.924999999999997</v>
      </c>
      <c r="AE25">
        <f>_xlfn.QUARTILE.INC(AE2:AE21,1)</f>
        <v>32.5</v>
      </c>
      <c r="AF25">
        <f t="shared" ref="AF25:AG25" si="11">_xlfn.QUARTILE.INC(AF2:AF21,1)</f>
        <v>32.5</v>
      </c>
      <c r="AG25">
        <f t="shared" si="11"/>
        <v>30.524999999999999</v>
      </c>
    </row>
    <row r="26" spans="1:33" x14ac:dyDescent="0.2">
      <c r="A26">
        <f>_xlfn.QUARTILE.INC(A2:A21,2)</f>
        <v>96</v>
      </c>
      <c r="B26">
        <f>_xlfn.QUARTILE.INC(B2:B21,2)</f>
        <v>93.9</v>
      </c>
      <c r="D26">
        <f t="shared" ref="D26:I26" si="12">_xlfn.QUARTILE.INC(D2:D21,2)</f>
        <v>62.35</v>
      </c>
      <c r="E26">
        <f t="shared" si="12"/>
        <v>60.65</v>
      </c>
      <c r="F26">
        <f t="shared" si="12"/>
        <v>61.9</v>
      </c>
      <c r="G26">
        <f t="shared" si="12"/>
        <v>59.4</v>
      </c>
      <c r="H26">
        <f t="shared" si="12"/>
        <v>60.65</v>
      </c>
      <c r="I26">
        <f t="shared" si="12"/>
        <v>61.9</v>
      </c>
      <c r="K26">
        <f>_xlfn.QUARTILE.INC(K2:K21,2)</f>
        <v>45.150000000000006</v>
      </c>
      <c r="L26">
        <f>_xlfn.QUARTILE.INC(L2:L21,2)</f>
        <v>41.25</v>
      </c>
      <c r="M26">
        <f t="shared" ref="M26" si="13">_xlfn.QUARTILE.INC(M2:M21,2)</f>
        <v>46.2</v>
      </c>
      <c r="O26">
        <f>_xlfn.QUARTILE.INC(O2:O21,2)</f>
        <v>42.5</v>
      </c>
      <c r="P26">
        <f t="shared" ref="P26:R26" si="14">_xlfn.QUARTILE.INC(P2:P21,2)</f>
        <v>42.8</v>
      </c>
      <c r="Q26">
        <f t="shared" si="14"/>
        <v>43.900000000000006</v>
      </c>
      <c r="R26">
        <f t="shared" si="14"/>
        <v>46.2</v>
      </c>
      <c r="S26">
        <f>_xlfn.QUARTILE.INC(S2:S21,2)</f>
        <v>44.099999999999994</v>
      </c>
      <c r="T26">
        <f>_xlfn.QUARTILE.INC(T2:T21,2)</f>
        <v>42.5</v>
      </c>
      <c r="U26">
        <f t="shared" ref="U26" si="15">_xlfn.QUARTILE.INC(U2:U21,2)</f>
        <v>42.5</v>
      </c>
      <c r="W26">
        <f>_xlfn.QUARTILE.INC(W2:W21,2)</f>
        <v>42.5</v>
      </c>
      <c r="X26">
        <f>_xlfn.QUARTILE.INC(X2:X21,2)</f>
        <v>42.5</v>
      </c>
      <c r="Y26">
        <f>_xlfn.QUARTILE.INC(Y2:Y21,2)</f>
        <v>33.950000000000003</v>
      </c>
      <c r="Z26">
        <f t="shared" ref="Z26:AA26" si="16">_xlfn.QUARTILE.INC(Z2:Z21,2)</f>
        <v>42.5</v>
      </c>
      <c r="AA26">
        <f t="shared" si="16"/>
        <v>33.950000000000003</v>
      </c>
      <c r="AB26">
        <f>_xlfn.QUARTILE.INC(AB2:AB21,2)</f>
        <v>42.5</v>
      </c>
      <c r="AD26">
        <f>_xlfn.QUARTILE.INC(AD2:AD21,2)</f>
        <v>40.6</v>
      </c>
      <c r="AE26">
        <f>_xlfn.QUARTILE.INC(AE2:AE21,2)</f>
        <v>38.950000000000003</v>
      </c>
      <c r="AF26">
        <f t="shared" ref="AF26:AG26" si="17">_xlfn.QUARTILE.INC(AF2:AF21,2)</f>
        <v>32.5</v>
      </c>
      <c r="AG26">
        <f t="shared" si="17"/>
        <v>32.5</v>
      </c>
    </row>
    <row r="27" spans="1:33" x14ac:dyDescent="0.2">
      <c r="A27">
        <f>_xlfn.QUARTILE.INC(A2:A21,3)</f>
        <v>96</v>
      </c>
      <c r="B27">
        <f>_xlfn.QUARTILE.INC(B2:B21,3)</f>
        <v>94.425000000000011</v>
      </c>
      <c r="D27">
        <f t="shared" ref="D27:I27" si="18">_xlfn.QUARTILE.INC(D2:D21,3)</f>
        <v>67.2</v>
      </c>
      <c r="E27">
        <f t="shared" si="18"/>
        <v>61.9</v>
      </c>
      <c r="F27">
        <f t="shared" si="18"/>
        <v>62.65</v>
      </c>
      <c r="G27">
        <f t="shared" si="18"/>
        <v>62.05</v>
      </c>
      <c r="H27">
        <f t="shared" si="18"/>
        <v>61.9</v>
      </c>
      <c r="I27">
        <f t="shared" si="18"/>
        <v>62.5</v>
      </c>
      <c r="K27">
        <f>_xlfn.QUARTILE.INC(K2:K21,3)</f>
        <v>46.2</v>
      </c>
      <c r="L27">
        <f>_xlfn.QUARTILE.INC(L2:L21,3)</f>
        <v>44.85</v>
      </c>
      <c r="M27">
        <f t="shared" ref="M27" si="19">_xlfn.QUARTILE.INC(M2:M21,3)</f>
        <v>46.2</v>
      </c>
      <c r="O27">
        <f>_xlfn.QUARTILE.INC(O2:O21,3)</f>
        <v>42.5</v>
      </c>
      <c r="P27">
        <f t="shared" ref="P27:R27" si="20">_xlfn.QUARTILE.INC(P2:P21,3)</f>
        <v>46.2</v>
      </c>
      <c r="Q27">
        <f t="shared" si="20"/>
        <v>45.3</v>
      </c>
      <c r="R27">
        <f t="shared" si="20"/>
        <v>47.45</v>
      </c>
      <c r="S27">
        <f>_xlfn.QUARTILE.INC(S2:S21,3)</f>
        <v>45</v>
      </c>
      <c r="T27">
        <f>_xlfn.QUARTILE.INC(T2:T21,3)</f>
        <v>43.274999999999999</v>
      </c>
      <c r="U27">
        <f t="shared" ref="U27" si="21">_xlfn.QUARTILE.INC(U2:U21,3)</f>
        <v>46.2</v>
      </c>
      <c r="W27">
        <f>_xlfn.QUARTILE.INC(W2:W21,3)</f>
        <v>42.65</v>
      </c>
      <c r="X27">
        <f>_xlfn.QUARTILE.INC(X2:X21,3)</f>
        <v>42.65</v>
      </c>
      <c r="Y27">
        <f>_xlfn.QUARTILE.INC(Y2:Y21,3)</f>
        <v>34.4</v>
      </c>
      <c r="Z27">
        <f t="shared" ref="Z27:AA27" si="22">_xlfn.QUARTILE.INC(Z2:Z21,3)</f>
        <v>42.5</v>
      </c>
      <c r="AA27">
        <f t="shared" si="22"/>
        <v>42.5</v>
      </c>
      <c r="AB27">
        <f>_xlfn.QUARTILE.INC(AB2:AB21,3)</f>
        <v>42.65</v>
      </c>
      <c r="AD27">
        <f>_xlfn.QUARTILE.INC(AD2:AD21,3)</f>
        <v>42.5</v>
      </c>
      <c r="AE27">
        <f>_xlfn.QUARTILE.INC(AE2:AE21,3)</f>
        <v>42.5</v>
      </c>
      <c r="AF27">
        <f t="shared" ref="AF27:AG27" si="23">_xlfn.QUARTILE.INC(AF2:AF21,3)</f>
        <v>32.5</v>
      </c>
      <c r="AG27">
        <f t="shared" si="23"/>
        <v>32.5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5608-8F15-4131-A0FD-F0382FD608C7}">
  <dimension ref="A1:E105"/>
  <sheetViews>
    <sheetView workbookViewId="0">
      <selection activeCell="H20" sqref="H20"/>
    </sheetView>
  </sheetViews>
  <sheetFormatPr baseColWidth="10" defaultColWidth="10.6640625" defaultRowHeight="16" x14ac:dyDescent="0.2"/>
  <sheetData>
    <row r="1" spans="1:5" x14ac:dyDescent="0.2">
      <c r="B1" s="3">
        <v>4.0999999999999996</v>
      </c>
      <c r="C1" t="s">
        <v>26</v>
      </c>
      <c r="D1" t="s">
        <v>27</v>
      </c>
      <c r="E1" t="s">
        <v>33</v>
      </c>
    </row>
    <row r="2" spans="1:5" x14ac:dyDescent="0.2">
      <c r="A2" t="s">
        <v>23</v>
      </c>
      <c r="B2" s="4">
        <f>AVERAGE(B6:B105)</f>
        <v>53.305999999999976</v>
      </c>
      <c r="C2" s="4">
        <f>AVERAGE(C6:C105)</f>
        <v>45.535000000000011</v>
      </c>
      <c r="D2" s="4">
        <f>AVERAGE(D6:D105)</f>
        <v>48.131</v>
      </c>
      <c r="E2" s="4">
        <f>AVERAGE(E6:E105)</f>
        <v>50.456999999999987</v>
      </c>
    </row>
    <row r="3" spans="1:5" x14ac:dyDescent="0.2">
      <c r="A3" t="s">
        <v>24</v>
      </c>
      <c r="B3" s="4">
        <f>_xlfn.STDEV.P(B6:B105)</f>
        <v>0.89115879617495763</v>
      </c>
      <c r="C3" s="4">
        <f>_xlfn.STDEV.P(C6:C105)</f>
        <v>3.7046288613031129</v>
      </c>
      <c r="D3" s="4">
        <f>_xlfn.STDEV.P(D6:D105)</f>
        <v>3.8236813413253987</v>
      </c>
      <c r="E3" s="4">
        <f>_xlfn.STDEV.P(E6:E105)</f>
        <v>4.7318549216982566</v>
      </c>
    </row>
    <row r="4" spans="1:5" x14ac:dyDescent="0.2">
      <c r="A4" t="s">
        <v>25</v>
      </c>
      <c r="B4" s="4">
        <f>QUARTILE(B6:B105,3)-QUARTILE(B6:B105,1)</f>
        <v>1.2000000000000028</v>
      </c>
      <c r="C4" s="4">
        <f>QUARTILE(C6:C105,3)-QUARTILE(C6:C105,1)</f>
        <v>4.2250000000000014</v>
      </c>
      <c r="D4" s="4">
        <f>QUARTILE(D6:D105,3)-QUARTILE(D6:D105,1)</f>
        <v>5.0749999999999957</v>
      </c>
      <c r="E4" s="4">
        <f>QUARTILE(E6:E105,3)-QUARTILE(E6:E105,1)</f>
        <v>5.1499999999999986</v>
      </c>
    </row>
    <row r="5" spans="1:5" x14ac:dyDescent="0.2">
      <c r="B5" s="4"/>
    </row>
    <row r="6" spans="1:5" x14ac:dyDescent="0.2">
      <c r="B6">
        <v>53.5</v>
      </c>
      <c r="C6">
        <v>47.5</v>
      </c>
      <c r="D6">
        <v>48</v>
      </c>
      <c r="E6">
        <v>59.4</v>
      </c>
    </row>
    <row r="7" spans="1:5" x14ac:dyDescent="0.2">
      <c r="B7">
        <v>52.9</v>
      </c>
      <c r="C7">
        <v>41.6</v>
      </c>
      <c r="D7">
        <v>50.4</v>
      </c>
      <c r="E7">
        <v>51.2</v>
      </c>
    </row>
    <row r="8" spans="1:5" x14ac:dyDescent="0.2">
      <c r="B8">
        <v>53.5</v>
      </c>
      <c r="C8">
        <v>40</v>
      </c>
      <c r="D8">
        <v>59.4</v>
      </c>
      <c r="E8">
        <v>43.8</v>
      </c>
    </row>
    <row r="9" spans="1:5" x14ac:dyDescent="0.2">
      <c r="B9">
        <v>54.1</v>
      </c>
      <c r="C9">
        <v>45.2</v>
      </c>
      <c r="D9">
        <v>46.2</v>
      </c>
      <c r="E9">
        <v>43.8</v>
      </c>
    </row>
    <row r="10" spans="1:5" x14ac:dyDescent="0.2">
      <c r="B10">
        <v>53.5</v>
      </c>
      <c r="C10">
        <v>46.9</v>
      </c>
      <c r="D10">
        <v>45</v>
      </c>
      <c r="E10">
        <v>48.1</v>
      </c>
    </row>
    <row r="11" spans="1:5" x14ac:dyDescent="0.2">
      <c r="B11">
        <v>53.5</v>
      </c>
      <c r="C11">
        <v>42.8</v>
      </c>
      <c r="D11">
        <v>53.2</v>
      </c>
      <c r="E11">
        <v>50</v>
      </c>
    </row>
    <row r="12" spans="1:5" x14ac:dyDescent="0.2">
      <c r="B12">
        <v>52.5</v>
      </c>
      <c r="C12">
        <v>47.2</v>
      </c>
      <c r="D12">
        <v>55.4</v>
      </c>
      <c r="E12">
        <v>50</v>
      </c>
    </row>
    <row r="13" spans="1:5" x14ac:dyDescent="0.2">
      <c r="B13">
        <v>53.5</v>
      </c>
      <c r="C13">
        <v>39.6</v>
      </c>
      <c r="D13">
        <v>41.9</v>
      </c>
      <c r="E13">
        <v>45</v>
      </c>
    </row>
    <row r="14" spans="1:5" x14ac:dyDescent="0.2">
      <c r="B14">
        <v>52.5</v>
      </c>
      <c r="C14">
        <v>44.6</v>
      </c>
      <c r="D14">
        <v>57.5</v>
      </c>
      <c r="E14">
        <v>47.5</v>
      </c>
    </row>
    <row r="15" spans="1:5" x14ac:dyDescent="0.2">
      <c r="B15">
        <v>54.1</v>
      </c>
      <c r="C15">
        <v>48.5</v>
      </c>
      <c r="D15">
        <v>49.5</v>
      </c>
      <c r="E15">
        <v>50</v>
      </c>
    </row>
    <row r="16" spans="1:5" x14ac:dyDescent="0.2">
      <c r="B16">
        <v>51.9</v>
      </c>
      <c r="C16">
        <v>48</v>
      </c>
      <c r="D16">
        <v>44.8</v>
      </c>
      <c r="E16">
        <v>49.4</v>
      </c>
    </row>
    <row r="17" spans="2:5" x14ac:dyDescent="0.2">
      <c r="B17">
        <v>54.8</v>
      </c>
      <c r="C17">
        <v>37.5</v>
      </c>
      <c r="D17">
        <v>45</v>
      </c>
      <c r="E17">
        <v>51.6</v>
      </c>
    </row>
    <row r="18" spans="2:5" x14ac:dyDescent="0.2">
      <c r="B18">
        <v>54.1</v>
      </c>
      <c r="C18">
        <v>45.2</v>
      </c>
      <c r="D18">
        <v>45.1</v>
      </c>
      <c r="E18">
        <v>56.9</v>
      </c>
    </row>
    <row r="19" spans="2:5" x14ac:dyDescent="0.2">
      <c r="B19">
        <v>54.1</v>
      </c>
      <c r="C19">
        <v>44.1</v>
      </c>
      <c r="D19">
        <v>49.5</v>
      </c>
      <c r="E19">
        <v>46.2</v>
      </c>
    </row>
    <row r="20" spans="2:5" x14ac:dyDescent="0.2">
      <c r="B20">
        <v>52.9</v>
      </c>
      <c r="C20">
        <v>48.4</v>
      </c>
      <c r="D20">
        <v>51.2</v>
      </c>
      <c r="E20">
        <v>50</v>
      </c>
    </row>
    <row r="21" spans="2:5" x14ac:dyDescent="0.2">
      <c r="B21">
        <v>54.1</v>
      </c>
      <c r="C21">
        <v>49</v>
      </c>
      <c r="D21">
        <v>50</v>
      </c>
      <c r="E21">
        <v>54.4</v>
      </c>
    </row>
    <row r="22" spans="2:5" x14ac:dyDescent="0.2">
      <c r="B22">
        <v>53.5</v>
      </c>
      <c r="C22">
        <v>47.5</v>
      </c>
      <c r="D22">
        <v>54.4</v>
      </c>
      <c r="E22">
        <v>50</v>
      </c>
    </row>
    <row r="23" spans="2:5" x14ac:dyDescent="0.2">
      <c r="B23">
        <v>52.9</v>
      </c>
      <c r="C23">
        <v>46.9</v>
      </c>
      <c r="D23">
        <v>47.5</v>
      </c>
      <c r="E23">
        <v>50.6</v>
      </c>
    </row>
    <row r="24" spans="2:5" x14ac:dyDescent="0.2">
      <c r="B24">
        <v>52.9</v>
      </c>
      <c r="C24">
        <v>43.8</v>
      </c>
      <c r="D24">
        <v>46.2</v>
      </c>
      <c r="E24">
        <v>53.8</v>
      </c>
    </row>
    <row r="25" spans="2:5" x14ac:dyDescent="0.2">
      <c r="B25">
        <v>54.1</v>
      </c>
      <c r="C25">
        <v>31.8</v>
      </c>
      <c r="D25">
        <v>44.4</v>
      </c>
      <c r="E25">
        <v>47.5</v>
      </c>
    </row>
    <row r="26" spans="2:5" x14ac:dyDescent="0.2">
      <c r="B26">
        <v>53</v>
      </c>
      <c r="C26">
        <v>43.8</v>
      </c>
      <c r="D26">
        <v>51.9</v>
      </c>
      <c r="E26">
        <v>51.9</v>
      </c>
    </row>
    <row r="27" spans="2:5" x14ac:dyDescent="0.2">
      <c r="B27">
        <v>54.1</v>
      </c>
      <c r="C27">
        <v>45.2</v>
      </c>
      <c r="D27">
        <v>49.6</v>
      </c>
      <c r="E27">
        <v>54.4</v>
      </c>
    </row>
    <row r="28" spans="2:5" x14ac:dyDescent="0.2">
      <c r="B28">
        <v>52.5</v>
      </c>
      <c r="C28">
        <v>48.1</v>
      </c>
      <c r="D28">
        <v>47.4</v>
      </c>
      <c r="E28">
        <v>51.2</v>
      </c>
    </row>
    <row r="29" spans="2:5" x14ac:dyDescent="0.2">
      <c r="B29">
        <v>52.5</v>
      </c>
      <c r="C29">
        <v>47.1</v>
      </c>
      <c r="D29">
        <v>42.6</v>
      </c>
      <c r="E29">
        <v>47.5</v>
      </c>
    </row>
    <row r="30" spans="2:5" x14ac:dyDescent="0.2">
      <c r="B30">
        <v>54.1</v>
      </c>
      <c r="C30">
        <v>44</v>
      </c>
      <c r="D30">
        <v>40.9</v>
      </c>
      <c r="E30">
        <v>43.8</v>
      </c>
    </row>
    <row r="31" spans="2:5" x14ac:dyDescent="0.2">
      <c r="B31">
        <v>54.1</v>
      </c>
      <c r="C31">
        <v>48</v>
      </c>
      <c r="D31">
        <v>48.1</v>
      </c>
      <c r="E31">
        <v>48.8</v>
      </c>
    </row>
    <row r="32" spans="2:5" x14ac:dyDescent="0.2">
      <c r="B32">
        <v>54.1</v>
      </c>
      <c r="C32">
        <v>47.2</v>
      </c>
      <c r="D32">
        <v>46.9</v>
      </c>
      <c r="E32">
        <v>52.5</v>
      </c>
    </row>
    <row r="33" spans="2:5" x14ac:dyDescent="0.2">
      <c r="B33">
        <v>52.5</v>
      </c>
      <c r="C33">
        <v>45.6</v>
      </c>
      <c r="D33">
        <v>44.9</v>
      </c>
      <c r="E33">
        <v>49.4</v>
      </c>
    </row>
    <row r="34" spans="2:5" x14ac:dyDescent="0.2">
      <c r="B34">
        <v>54.1</v>
      </c>
      <c r="C34">
        <v>45.9</v>
      </c>
      <c r="D34">
        <v>42.6</v>
      </c>
      <c r="E34">
        <v>55</v>
      </c>
    </row>
    <row r="35" spans="2:5" x14ac:dyDescent="0.2">
      <c r="B35">
        <v>53.5</v>
      </c>
      <c r="C35">
        <v>48.8</v>
      </c>
      <c r="D35">
        <v>48</v>
      </c>
      <c r="E35">
        <v>45</v>
      </c>
    </row>
    <row r="36" spans="2:5" x14ac:dyDescent="0.2">
      <c r="B36">
        <v>54.1</v>
      </c>
      <c r="C36">
        <v>48.1</v>
      </c>
      <c r="D36">
        <v>48.8</v>
      </c>
      <c r="E36">
        <v>53.1</v>
      </c>
    </row>
    <row r="37" spans="2:5" x14ac:dyDescent="0.2">
      <c r="B37">
        <v>52.5</v>
      </c>
      <c r="C37">
        <v>49</v>
      </c>
      <c r="D37">
        <v>46.8</v>
      </c>
      <c r="E37">
        <v>57.5</v>
      </c>
    </row>
    <row r="38" spans="2:5" x14ac:dyDescent="0.2">
      <c r="B38">
        <v>52.9</v>
      </c>
      <c r="C38">
        <v>48.1</v>
      </c>
      <c r="D38">
        <v>47.6</v>
      </c>
      <c r="E38">
        <v>55</v>
      </c>
    </row>
    <row r="39" spans="2:5" x14ac:dyDescent="0.2">
      <c r="B39">
        <v>52.5</v>
      </c>
      <c r="C39">
        <v>39.4</v>
      </c>
      <c r="D39">
        <v>48.6</v>
      </c>
      <c r="E39">
        <v>53.8</v>
      </c>
    </row>
    <row r="40" spans="2:5" x14ac:dyDescent="0.2">
      <c r="B40">
        <v>55.4</v>
      </c>
      <c r="C40">
        <v>48.4</v>
      </c>
      <c r="D40">
        <v>45.1</v>
      </c>
      <c r="E40">
        <v>45</v>
      </c>
    </row>
    <row r="41" spans="2:5" x14ac:dyDescent="0.2">
      <c r="B41">
        <v>51.9</v>
      </c>
      <c r="C41">
        <v>46.9</v>
      </c>
      <c r="D41">
        <v>43.4</v>
      </c>
      <c r="E41">
        <v>48.1</v>
      </c>
    </row>
    <row r="42" spans="2:5" x14ac:dyDescent="0.2">
      <c r="B42">
        <v>52.9</v>
      </c>
      <c r="C42">
        <v>46.2</v>
      </c>
      <c r="D42">
        <v>44.8</v>
      </c>
      <c r="E42">
        <v>48.8</v>
      </c>
    </row>
    <row r="43" spans="2:5" x14ac:dyDescent="0.2">
      <c r="B43">
        <v>52.9</v>
      </c>
      <c r="C43">
        <v>49.4</v>
      </c>
      <c r="D43">
        <v>50</v>
      </c>
      <c r="E43">
        <v>48.8</v>
      </c>
    </row>
    <row r="44" spans="2:5" x14ac:dyDescent="0.2">
      <c r="B44">
        <v>52.9</v>
      </c>
      <c r="C44">
        <v>38.6</v>
      </c>
      <c r="D44">
        <v>52.5</v>
      </c>
      <c r="E44">
        <v>48.1</v>
      </c>
    </row>
    <row r="45" spans="2:5" x14ac:dyDescent="0.2">
      <c r="B45">
        <v>53.5</v>
      </c>
      <c r="C45">
        <v>41.2</v>
      </c>
      <c r="D45">
        <v>47.2</v>
      </c>
      <c r="E45">
        <v>50.6</v>
      </c>
    </row>
    <row r="46" spans="2:5" x14ac:dyDescent="0.2">
      <c r="B46">
        <v>51.9</v>
      </c>
      <c r="C46">
        <v>43.6</v>
      </c>
      <c r="D46">
        <v>45.4</v>
      </c>
      <c r="E46">
        <v>53.1</v>
      </c>
    </row>
    <row r="47" spans="2:5" x14ac:dyDescent="0.2">
      <c r="B47">
        <v>52.9</v>
      </c>
      <c r="C47">
        <v>51.9</v>
      </c>
      <c r="D47">
        <v>43.2</v>
      </c>
      <c r="E47">
        <v>43.8</v>
      </c>
    </row>
    <row r="48" spans="2:5" x14ac:dyDescent="0.2">
      <c r="B48">
        <v>52.9</v>
      </c>
      <c r="C48">
        <v>43.8</v>
      </c>
      <c r="D48">
        <v>42</v>
      </c>
      <c r="E48">
        <v>35.6</v>
      </c>
    </row>
    <row r="49" spans="2:5" x14ac:dyDescent="0.2">
      <c r="B49">
        <v>55.4</v>
      </c>
      <c r="C49">
        <v>43.8</v>
      </c>
      <c r="D49">
        <v>52.4</v>
      </c>
      <c r="E49">
        <v>53.1</v>
      </c>
    </row>
    <row r="50" spans="2:5" x14ac:dyDescent="0.2">
      <c r="B50">
        <v>53.5</v>
      </c>
      <c r="C50">
        <v>49.8</v>
      </c>
      <c r="D50">
        <v>50.8</v>
      </c>
      <c r="E50">
        <v>50.6</v>
      </c>
    </row>
    <row r="51" spans="2:5" x14ac:dyDescent="0.2">
      <c r="B51">
        <v>53.5</v>
      </c>
      <c r="C51">
        <v>38.799999999999997</v>
      </c>
      <c r="D51">
        <v>50.4</v>
      </c>
      <c r="E51">
        <v>50</v>
      </c>
    </row>
    <row r="52" spans="2:5" x14ac:dyDescent="0.2">
      <c r="B52">
        <v>52.9</v>
      </c>
      <c r="C52">
        <v>50.6</v>
      </c>
      <c r="D52">
        <v>47.5</v>
      </c>
      <c r="E52">
        <v>44.4</v>
      </c>
    </row>
    <row r="53" spans="2:5" x14ac:dyDescent="0.2">
      <c r="B53">
        <v>54.1</v>
      </c>
      <c r="C53">
        <v>48.4</v>
      </c>
      <c r="D53">
        <v>50.5</v>
      </c>
      <c r="E53">
        <v>51.9</v>
      </c>
    </row>
    <row r="54" spans="2:5" x14ac:dyDescent="0.2">
      <c r="B54">
        <v>53.5</v>
      </c>
      <c r="C54">
        <v>45</v>
      </c>
      <c r="D54">
        <v>46</v>
      </c>
      <c r="E54">
        <v>39.4</v>
      </c>
    </row>
    <row r="55" spans="2:5" x14ac:dyDescent="0.2">
      <c r="B55">
        <v>51.9</v>
      </c>
      <c r="C55">
        <v>51</v>
      </c>
      <c r="D55">
        <v>48.8</v>
      </c>
      <c r="E55">
        <v>50</v>
      </c>
    </row>
    <row r="56" spans="2:5" x14ac:dyDescent="0.2">
      <c r="B56">
        <v>52.9</v>
      </c>
      <c r="C56">
        <v>46.2</v>
      </c>
      <c r="D56">
        <v>51.9</v>
      </c>
      <c r="E56">
        <v>51.2</v>
      </c>
    </row>
    <row r="57" spans="2:5" x14ac:dyDescent="0.2">
      <c r="B57">
        <v>53.5</v>
      </c>
      <c r="C57">
        <v>46.5</v>
      </c>
      <c r="D57">
        <v>44.4</v>
      </c>
      <c r="E57">
        <v>55.6</v>
      </c>
    </row>
    <row r="58" spans="2:5" x14ac:dyDescent="0.2">
      <c r="B58">
        <v>54.1</v>
      </c>
      <c r="C58">
        <v>46.8</v>
      </c>
      <c r="D58">
        <v>42.4</v>
      </c>
      <c r="E58">
        <v>50</v>
      </c>
    </row>
    <row r="59" spans="2:5" x14ac:dyDescent="0.2">
      <c r="B59">
        <v>54.1</v>
      </c>
      <c r="C59">
        <v>37.6</v>
      </c>
      <c r="D59">
        <v>46</v>
      </c>
      <c r="E59">
        <v>51.9</v>
      </c>
    </row>
    <row r="60" spans="2:5" x14ac:dyDescent="0.2">
      <c r="B60">
        <v>54.1</v>
      </c>
      <c r="C60">
        <v>47.9</v>
      </c>
      <c r="D60">
        <v>45.6</v>
      </c>
      <c r="E60">
        <v>56.9</v>
      </c>
    </row>
    <row r="61" spans="2:5" x14ac:dyDescent="0.2">
      <c r="B61">
        <v>53.5</v>
      </c>
      <c r="C61">
        <v>47.9</v>
      </c>
      <c r="D61">
        <v>49.8</v>
      </c>
      <c r="E61">
        <v>50.6</v>
      </c>
    </row>
    <row r="62" spans="2:5" x14ac:dyDescent="0.2">
      <c r="B62">
        <v>52.9</v>
      </c>
      <c r="C62">
        <v>49</v>
      </c>
      <c r="D62">
        <v>52</v>
      </c>
      <c r="E62">
        <v>51.9</v>
      </c>
    </row>
    <row r="63" spans="2:5" x14ac:dyDescent="0.2">
      <c r="B63">
        <v>53.5</v>
      </c>
      <c r="C63">
        <v>42.1</v>
      </c>
      <c r="D63">
        <v>50.5</v>
      </c>
      <c r="E63">
        <v>50.6</v>
      </c>
    </row>
    <row r="64" spans="2:5" x14ac:dyDescent="0.2">
      <c r="B64">
        <v>53.5</v>
      </c>
      <c r="C64">
        <v>46.8</v>
      </c>
      <c r="D64">
        <v>46.6</v>
      </c>
      <c r="E64">
        <v>51.9</v>
      </c>
    </row>
    <row r="65" spans="2:5" x14ac:dyDescent="0.2">
      <c r="B65">
        <v>53.5</v>
      </c>
      <c r="C65">
        <v>45</v>
      </c>
      <c r="D65">
        <v>46.9</v>
      </c>
      <c r="E65">
        <v>46.2</v>
      </c>
    </row>
    <row r="66" spans="2:5" x14ac:dyDescent="0.2">
      <c r="B66">
        <v>54.1</v>
      </c>
      <c r="C66">
        <v>47.9</v>
      </c>
      <c r="D66">
        <v>49.8</v>
      </c>
      <c r="E66">
        <v>49.4</v>
      </c>
    </row>
    <row r="67" spans="2:5" x14ac:dyDescent="0.2">
      <c r="B67">
        <v>55.4</v>
      </c>
      <c r="C67">
        <v>41.9</v>
      </c>
      <c r="D67">
        <v>45.5</v>
      </c>
      <c r="E67">
        <v>53.1</v>
      </c>
    </row>
    <row r="68" spans="2:5" x14ac:dyDescent="0.2">
      <c r="B68">
        <v>52.9</v>
      </c>
      <c r="C68">
        <v>48</v>
      </c>
      <c r="D68">
        <v>55.6</v>
      </c>
      <c r="E68">
        <v>55</v>
      </c>
    </row>
    <row r="69" spans="2:5" x14ac:dyDescent="0.2">
      <c r="B69">
        <v>54.8</v>
      </c>
      <c r="C69">
        <v>41.9</v>
      </c>
      <c r="D69">
        <v>48</v>
      </c>
      <c r="E69">
        <v>54.4</v>
      </c>
    </row>
    <row r="70" spans="2:5" x14ac:dyDescent="0.2">
      <c r="B70">
        <v>52.9</v>
      </c>
      <c r="C70">
        <v>48.2</v>
      </c>
      <c r="D70">
        <v>49.8</v>
      </c>
      <c r="E70">
        <v>58.5</v>
      </c>
    </row>
    <row r="71" spans="2:5" x14ac:dyDescent="0.2">
      <c r="B71">
        <v>52.5</v>
      </c>
      <c r="C71">
        <v>47.1</v>
      </c>
      <c r="D71">
        <v>45.5</v>
      </c>
      <c r="E71">
        <v>47.5</v>
      </c>
    </row>
    <row r="72" spans="2:5" x14ac:dyDescent="0.2">
      <c r="B72">
        <v>54.8</v>
      </c>
      <c r="C72">
        <v>45.4</v>
      </c>
      <c r="D72">
        <v>48.8</v>
      </c>
      <c r="E72">
        <v>55.6</v>
      </c>
    </row>
    <row r="73" spans="2:5" x14ac:dyDescent="0.2">
      <c r="B73">
        <v>54.1</v>
      </c>
      <c r="C73">
        <v>46.2</v>
      </c>
      <c r="D73">
        <v>56.8</v>
      </c>
      <c r="E73">
        <v>55.6</v>
      </c>
    </row>
    <row r="74" spans="2:5" x14ac:dyDescent="0.2">
      <c r="B74">
        <v>55.4</v>
      </c>
      <c r="C74">
        <v>46.9</v>
      </c>
      <c r="D74">
        <v>49.5</v>
      </c>
      <c r="E74">
        <v>51.2</v>
      </c>
    </row>
    <row r="75" spans="2:5" x14ac:dyDescent="0.2">
      <c r="B75">
        <v>54.1</v>
      </c>
      <c r="C75">
        <v>49.9</v>
      </c>
      <c r="D75">
        <v>50.5</v>
      </c>
      <c r="E75">
        <v>51.9</v>
      </c>
    </row>
    <row r="76" spans="2:5" x14ac:dyDescent="0.2">
      <c r="B76">
        <v>51.9</v>
      </c>
      <c r="C76">
        <v>47.5</v>
      </c>
      <c r="D76">
        <v>45.2</v>
      </c>
      <c r="E76">
        <v>54.4</v>
      </c>
    </row>
    <row r="77" spans="2:5" x14ac:dyDescent="0.2">
      <c r="B77">
        <v>53</v>
      </c>
      <c r="C77">
        <v>46.9</v>
      </c>
      <c r="D77">
        <v>55.6</v>
      </c>
      <c r="E77">
        <v>35.6</v>
      </c>
    </row>
    <row r="78" spans="2:5" x14ac:dyDescent="0.2">
      <c r="B78">
        <v>54.1</v>
      </c>
      <c r="C78">
        <v>53</v>
      </c>
      <c r="D78">
        <v>46.6</v>
      </c>
      <c r="E78">
        <v>43.8</v>
      </c>
    </row>
    <row r="79" spans="2:5" x14ac:dyDescent="0.2">
      <c r="B79">
        <v>51.9</v>
      </c>
      <c r="C79">
        <v>48</v>
      </c>
      <c r="D79">
        <v>48.9</v>
      </c>
      <c r="E79">
        <v>58.8</v>
      </c>
    </row>
    <row r="80" spans="2:5" x14ac:dyDescent="0.2">
      <c r="B80">
        <v>53.5</v>
      </c>
      <c r="C80">
        <v>43.4</v>
      </c>
      <c r="D80">
        <v>43.2</v>
      </c>
      <c r="E80">
        <v>47.5</v>
      </c>
    </row>
    <row r="81" spans="2:5" x14ac:dyDescent="0.2">
      <c r="B81">
        <v>53.5</v>
      </c>
      <c r="C81">
        <v>44</v>
      </c>
      <c r="D81">
        <v>43.8</v>
      </c>
      <c r="E81">
        <v>45</v>
      </c>
    </row>
    <row r="82" spans="2:5" x14ac:dyDescent="0.2">
      <c r="B82">
        <v>54.4</v>
      </c>
      <c r="C82">
        <v>41.9</v>
      </c>
      <c r="D82">
        <v>51.2</v>
      </c>
      <c r="E82">
        <v>48.1</v>
      </c>
    </row>
    <row r="83" spans="2:5" x14ac:dyDescent="0.2">
      <c r="B83">
        <v>53.5</v>
      </c>
      <c r="C83">
        <v>45.2</v>
      </c>
      <c r="D83">
        <v>55.6</v>
      </c>
      <c r="E83">
        <v>50.6</v>
      </c>
    </row>
    <row r="84" spans="2:5" x14ac:dyDescent="0.2">
      <c r="B84">
        <v>53.5</v>
      </c>
      <c r="C84">
        <v>43.8</v>
      </c>
      <c r="D84">
        <v>52.4</v>
      </c>
      <c r="E84">
        <v>49.4</v>
      </c>
    </row>
    <row r="85" spans="2:5" x14ac:dyDescent="0.2">
      <c r="B85">
        <v>51.9</v>
      </c>
      <c r="C85">
        <v>48.6</v>
      </c>
      <c r="D85">
        <v>43.9</v>
      </c>
      <c r="E85">
        <v>51.2</v>
      </c>
    </row>
    <row r="86" spans="2:5" x14ac:dyDescent="0.2">
      <c r="B86">
        <v>53</v>
      </c>
      <c r="C86">
        <v>45.5</v>
      </c>
      <c r="D86">
        <v>43.4</v>
      </c>
      <c r="E86">
        <v>49.4</v>
      </c>
    </row>
    <row r="87" spans="2:5" x14ac:dyDescent="0.2">
      <c r="B87">
        <v>54.1</v>
      </c>
      <c r="C87">
        <v>45.2</v>
      </c>
      <c r="D87">
        <v>49</v>
      </c>
      <c r="E87">
        <v>48.1</v>
      </c>
    </row>
    <row r="88" spans="2:5" x14ac:dyDescent="0.2">
      <c r="B88">
        <v>53.6</v>
      </c>
      <c r="C88">
        <v>36.9</v>
      </c>
      <c r="D88">
        <v>50.2</v>
      </c>
      <c r="E88">
        <v>55.6</v>
      </c>
    </row>
    <row r="89" spans="2:5" x14ac:dyDescent="0.2">
      <c r="B89">
        <v>50.6</v>
      </c>
      <c r="C89">
        <v>43.8</v>
      </c>
      <c r="D89">
        <v>46.1</v>
      </c>
      <c r="E89">
        <v>51.2</v>
      </c>
    </row>
    <row r="90" spans="2:5" x14ac:dyDescent="0.2">
      <c r="B90">
        <v>53.5</v>
      </c>
      <c r="C90">
        <v>55.4</v>
      </c>
      <c r="D90">
        <v>56.4</v>
      </c>
      <c r="E90">
        <v>55</v>
      </c>
    </row>
    <row r="91" spans="2:5" x14ac:dyDescent="0.2">
      <c r="B91">
        <v>52.9</v>
      </c>
      <c r="C91">
        <v>49.5</v>
      </c>
      <c r="D91">
        <v>47.2</v>
      </c>
      <c r="E91">
        <v>50.6</v>
      </c>
    </row>
    <row r="92" spans="2:5" x14ac:dyDescent="0.2">
      <c r="B92">
        <v>52.5</v>
      </c>
      <c r="C92">
        <v>50.6</v>
      </c>
      <c r="D92">
        <v>46.9</v>
      </c>
      <c r="E92">
        <v>46.9</v>
      </c>
    </row>
    <row r="93" spans="2:5" x14ac:dyDescent="0.2">
      <c r="B93">
        <v>52.9</v>
      </c>
      <c r="C93">
        <v>42.8</v>
      </c>
      <c r="D93">
        <v>47.4</v>
      </c>
      <c r="E93">
        <v>46.9</v>
      </c>
    </row>
    <row r="94" spans="2:5" x14ac:dyDescent="0.2">
      <c r="B94">
        <v>51.9</v>
      </c>
      <c r="C94">
        <v>37.799999999999997</v>
      </c>
      <c r="D94">
        <v>47.5</v>
      </c>
      <c r="E94">
        <v>47.5</v>
      </c>
    </row>
    <row r="95" spans="2:5" x14ac:dyDescent="0.2">
      <c r="B95">
        <v>52.9</v>
      </c>
      <c r="C95">
        <v>42.8</v>
      </c>
      <c r="D95">
        <v>51</v>
      </c>
      <c r="E95">
        <v>53.1</v>
      </c>
    </row>
    <row r="96" spans="2:5" x14ac:dyDescent="0.2">
      <c r="B96">
        <v>52.9</v>
      </c>
      <c r="C96">
        <v>45.6</v>
      </c>
      <c r="D96">
        <v>45.5</v>
      </c>
      <c r="E96">
        <v>67.900000000000006</v>
      </c>
    </row>
    <row r="97" spans="2:5" x14ac:dyDescent="0.2">
      <c r="B97">
        <v>53.5</v>
      </c>
      <c r="C97">
        <v>45</v>
      </c>
      <c r="D97">
        <v>50.6</v>
      </c>
      <c r="E97">
        <v>48.8</v>
      </c>
    </row>
    <row r="98" spans="2:5" x14ac:dyDescent="0.2">
      <c r="B98">
        <v>52.9</v>
      </c>
      <c r="C98">
        <v>42.5</v>
      </c>
      <c r="D98">
        <v>47.1</v>
      </c>
      <c r="E98">
        <v>48.8</v>
      </c>
    </row>
    <row r="99" spans="2:5" x14ac:dyDescent="0.2">
      <c r="B99">
        <v>51.9</v>
      </c>
      <c r="C99">
        <v>48.4</v>
      </c>
      <c r="D99">
        <v>45.1</v>
      </c>
      <c r="E99">
        <v>60.6</v>
      </c>
    </row>
    <row r="100" spans="2:5" x14ac:dyDescent="0.2">
      <c r="B100">
        <v>51.9</v>
      </c>
      <c r="C100">
        <v>41.9</v>
      </c>
      <c r="D100">
        <v>48.5</v>
      </c>
      <c r="E100">
        <v>50</v>
      </c>
    </row>
    <row r="101" spans="2:5" x14ac:dyDescent="0.2">
      <c r="B101">
        <v>52.9</v>
      </c>
      <c r="C101">
        <v>43.8</v>
      </c>
      <c r="D101">
        <v>41.4</v>
      </c>
      <c r="E101">
        <v>55</v>
      </c>
    </row>
    <row r="102" spans="2:5" x14ac:dyDescent="0.2">
      <c r="B102">
        <v>52.9</v>
      </c>
      <c r="C102">
        <v>44</v>
      </c>
      <c r="D102">
        <v>46.4</v>
      </c>
      <c r="E102">
        <v>47.5</v>
      </c>
    </row>
    <row r="103" spans="2:5" x14ac:dyDescent="0.2">
      <c r="B103">
        <v>53.5</v>
      </c>
      <c r="C103">
        <v>46.2</v>
      </c>
      <c r="D103">
        <v>51.5</v>
      </c>
      <c r="E103">
        <v>51.9</v>
      </c>
    </row>
    <row r="104" spans="2:5" x14ac:dyDescent="0.2">
      <c r="B104">
        <v>53.5</v>
      </c>
      <c r="C104">
        <v>44.4</v>
      </c>
      <c r="D104">
        <v>43.8</v>
      </c>
      <c r="E104">
        <v>51.9</v>
      </c>
    </row>
    <row r="105" spans="2:5" x14ac:dyDescent="0.2">
      <c r="B105">
        <v>51.6</v>
      </c>
      <c r="C105">
        <v>48.1</v>
      </c>
      <c r="D105">
        <v>46.5</v>
      </c>
      <c r="E105">
        <v>46.2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4756-621E-404B-B1D4-DDFC54E4B6B7}">
  <dimension ref="A1:D27"/>
  <sheetViews>
    <sheetView tabSelected="1" topLeftCell="D1" zoomScale="125" zoomScaleNormal="180" workbookViewId="0">
      <selection activeCell="T20" sqref="T20"/>
    </sheetView>
  </sheetViews>
  <sheetFormatPr baseColWidth="10" defaultRowHeight="16" x14ac:dyDescent="0.2"/>
  <sheetData>
    <row r="1" spans="1:4" x14ac:dyDescent="0.2">
      <c r="B1" t="s">
        <v>40</v>
      </c>
      <c r="C1" t="s">
        <v>38</v>
      </c>
      <c r="D1" t="s">
        <v>39</v>
      </c>
    </row>
    <row r="2" spans="1:4" x14ac:dyDescent="0.2">
      <c r="A2" t="s">
        <v>0</v>
      </c>
      <c r="B2">
        <v>65.825000000000003</v>
      </c>
      <c r="C2">
        <f>D2-B2</f>
        <v>14.024999999999991</v>
      </c>
      <c r="D2">
        <v>79.849999999999994</v>
      </c>
    </row>
    <row r="3" spans="1:4" x14ac:dyDescent="0.2">
      <c r="A3" t="s">
        <v>12</v>
      </c>
      <c r="B3">
        <v>56.774999999999999</v>
      </c>
      <c r="C3">
        <f t="shared" ref="C3:C27" si="0">D3-B3</f>
        <v>6.7999999999999972</v>
      </c>
      <c r="D3">
        <v>63.574999999999996</v>
      </c>
    </row>
    <row r="4" spans="1:4" x14ac:dyDescent="0.2">
      <c r="A4" t="s">
        <v>15</v>
      </c>
      <c r="B4">
        <v>53.6</v>
      </c>
      <c r="C4">
        <f t="shared" si="0"/>
        <v>8.6000000000000014</v>
      </c>
      <c r="D4">
        <v>62.2</v>
      </c>
    </row>
    <row r="5" spans="1:4" x14ac:dyDescent="0.2">
      <c r="A5" t="s">
        <v>17</v>
      </c>
      <c r="B5">
        <v>51.475000000000001</v>
      </c>
      <c r="C5">
        <f t="shared" si="0"/>
        <v>10.324999999999996</v>
      </c>
      <c r="D5">
        <v>61.8</v>
      </c>
    </row>
    <row r="6" spans="1:4" x14ac:dyDescent="0.2">
      <c r="A6" t="s">
        <v>6</v>
      </c>
      <c r="B6">
        <v>50.65</v>
      </c>
      <c r="C6">
        <f t="shared" si="0"/>
        <v>5.1750000000000043</v>
      </c>
      <c r="D6">
        <v>55.825000000000003</v>
      </c>
    </row>
    <row r="7" spans="1:4" x14ac:dyDescent="0.2">
      <c r="A7" t="s">
        <v>16</v>
      </c>
      <c r="B7">
        <v>48.95</v>
      </c>
      <c r="C7">
        <f t="shared" si="0"/>
        <v>16.299999999999997</v>
      </c>
      <c r="D7">
        <v>65.25</v>
      </c>
    </row>
    <row r="8" spans="1:4" x14ac:dyDescent="0.2">
      <c r="A8" t="s">
        <v>14</v>
      </c>
      <c r="B8">
        <v>43.625</v>
      </c>
      <c r="C8">
        <f t="shared" si="0"/>
        <v>12.549999999999997</v>
      </c>
      <c r="D8">
        <v>56.174999999999997</v>
      </c>
    </row>
    <row r="9" spans="1:4" x14ac:dyDescent="0.2">
      <c r="A9" t="s">
        <v>13</v>
      </c>
      <c r="B9">
        <v>43.3</v>
      </c>
      <c r="C9">
        <f t="shared" si="0"/>
        <v>14.550000000000004</v>
      </c>
      <c r="D9">
        <v>57.85</v>
      </c>
    </row>
    <row r="10" spans="1:4" x14ac:dyDescent="0.2">
      <c r="A10" t="s">
        <v>32</v>
      </c>
      <c r="B10">
        <v>40.35</v>
      </c>
      <c r="C10">
        <f t="shared" si="0"/>
        <v>9.8500000000000014</v>
      </c>
      <c r="D10">
        <v>50.2</v>
      </c>
    </row>
    <row r="11" spans="1:4" x14ac:dyDescent="0.2">
      <c r="A11" t="s">
        <v>11</v>
      </c>
      <c r="B11">
        <v>38.75</v>
      </c>
      <c r="C11">
        <f t="shared" si="0"/>
        <v>11.75</v>
      </c>
      <c r="D11">
        <v>50.5</v>
      </c>
    </row>
    <row r="12" spans="1:4" x14ac:dyDescent="0.2">
      <c r="A12" t="s">
        <v>30</v>
      </c>
      <c r="B12">
        <v>37.575000000000003</v>
      </c>
      <c r="C12">
        <f t="shared" si="0"/>
        <v>10.674999999999997</v>
      </c>
      <c r="D12">
        <v>48.25</v>
      </c>
    </row>
    <row r="13" spans="1:4" x14ac:dyDescent="0.2">
      <c r="A13" t="s">
        <v>1</v>
      </c>
      <c r="B13">
        <v>36.825000000000003</v>
      </c>
      <c r="C13">
        <f t="shared" si="0"/>
        <v>4.7749999999999986</v>
      </c>
      <c r="D13">
        <v>41.6</v>
      </c>
    </row>
    <row r="14" spans="1:4" x14ac:dyDescent="0.2">
      <c r="A14" t="s">
        <v>10</v>
      </c>
      <c r="B14">
        <v>35.800000000000004</v>
      </c>
      <c r="C14">
        <f t="shared" si="0"/>
        <v>9.7999999999999972</v>
      </c>
      <c r="D14">
        <v>45.6</v>
      </c>
    </row>
    <row r="15" spans="1:4" x14ac:dyDescent="0.2">
      <c r="A15" t="s">
        <v>4</v>
      </c>
      <c r="B15">
        <v>35.325000000000003</v>
      </c>
      <c r="C15">
        <f t="shared" si="0"/>
        <v>6.75</v>
      </c>
      <c r="D15">
        <v>42.075000000000003</v>
      </c>
    </row>
    <row r="16" spans="1:4" x14ac:dyDescent="0.2">
      <c r="A16" t="s">
        <v>29</v>
      </c>
      <c r="B16">
        <v>35</v>
      </c>
      <c r="C16">
        <f t="shared" si="0"/>
        <v>4.625</v>
      </c>
      <c r="D16">
        <v>39.625</v>
      </c>
    </row>
    <row r="17" spans="1:4" x14ac:dyDescent="0.2">
      <c r="A17" t="s">
        <v>20</v>
      </c>
      <c r="B17">
        <v>34.6</v>
      </c>
      <c r="C17">
        <f t="shared" si="0"/>
        <v>2.6000000000000014</v>
      </c>
      <c r="D17">
        <v>37.200000000000003</v>
      </c>
    </row>
    <row r="18" spans="1:4" x14ac:dyDescent="0.2">
      <c r="A18" t="s">
        <v>9</v>
      </c>
      <c r="B18">
        <v>34.099999999999994</v>
      </c>
      <c r="C18">
        <f t="shared" si="0"/>
        <v>5.0500000000000043</v>
      </c>
      <c r="D18">
        <v>39.15</v>
      </c>
    </row>
    <row r="19" spans="1:4" x14ac:dyDescent="0.2">
      <c r="A19" t="s">
        <v>8</v>
      </c>
      <c r="B19">
        <v>34</v>
      </c>
      <c r="C19">
        <f t="shared" si="0"/>
        <v>3</v>
      </c>
      <c r="D19">
        <v>37</v>
      </c>
    </row>
    <row r="20" spans="1:4" x14ac:dyDescent="0.2">
      <c r="A20" t="s">
        <v>5</v>
      </c>
      <c r="B20">
        <v>33.65</v>
      </c>
      <c r="C20">
        <f t="shared" si="0"/>
        <v>6.0249999999999986</v>
      </c>
      <c r="D20">
        <v>39.674999999999997</v>
      </c>
    </row>
    <row r="21" spans="1:4" x14ac:dyDescent="0.2">
      <c r="A21" t="s">
        <v>7</v>
      </c>
      <c r="B21">
        <v>32.950000000000003</v>
      </c>
      <c r="C21">
        <f t="shared" si="0"/>
        <v>3.0999999999999943</v>
      </c>
      <c r="D21">
        <v>36.049999999999997</v>
      </c>
    </row>
    <row r="22" spans="1:4" x14ac:dyDescent="0.2">
      <c r="A22" t="s">
        <v>18</v>
      </c>
      <c r="B22">
        <v>32.9</v>
      </c>
      <c r="C22">
        <f t="shared" si="0"/>
        <v>3.8500000000000014</v>
      </c>
      <c r="D22">
        <v>36.75</v>
      </c>
    </row>
    <row r="23" spans="1:4" x14ac:dyDescent="0.2">
      <c r="A23" t="s">
        <v>3</v>
      </c>
      <c r="B23">
        <v>29.2</v>
      </c>
      <c r="C23">
        <f t="shared" si="0"/>
        <v>3.0749999999999993</v>
      </c>
      <c r="D23">
        <v>32.274999999999999</v>
      </c>
    </row>
    <row r="24" spans="1:4" x14ac:dyDescent="0.2">
      <c r="A24" t="s">
        <v>2</v>
      </c>
      <c r="B24">
        <v>28.85</v>
      </c>
      <c r="C24">
        <f t="shared" si="0"/>
        <v>2.1499999999999986</v>
      </c>
      <c r="D24">
        <v>31</v>
      </c>
    </row>
    <row r="25" spans="1:4" x14ac:dyDescent="0.2">
      <c r="A25" t="s">
        <v>22</v>
      </c>
      <c r="B25">
        <v>28.85</v>
      </c>
      <c r="C25">
        <f t="shared" si="0"/>
        <v>1.75</v>
      </c>
      <c r="D25">
        <v>30.6</v>
      </c>
    </row>
    <row r="26" spans="1:4" x14ac:dyDescent="0.2">
      <c r="A26" t="s">
        <v>21</v>
      </c>
      <c r="B26">
        <v>28.225000000000001</v>
      </c>
      <c r="C26">
        <f t="shared" si="0"/>
        <v>3.9500000000000028</v>
      </c>
      <c r="D26">
        <v>32.175000000000004</v>
      </c>
    </row>
    <row r="27" spans="1:4" x14ac:dyDescent="0.2">
      <c r="A27" t="s">
        <v>31</v>
      </c>
      <c r="B27">
        <v>27.25</v>
      </c>
      <c r="C27">
        <f t="shared" si="0"/>
        <v>2.0500000000000007</v>
      </c>
      <c r="D27">
        <v>29.3</v>
      </c>
    </row>
  </sheetData>
  <sortState xmlns:xlrd2="http://schemas.microsoft.com/office/spreadsheetml/2017/richdata2" ref="A2:D28">
    <sortCondition descending="1" ref="B1:B2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GPT-4.1</vt:lpstr>
      <vt:lpstr>GPT-remove</vt:lpstr>
      <vt:lpstr>Gemini 2.5 Flash</vt:lpstr>
      <vt:lpstr>baidu</vt:lpstr>
      <vt:lpstr>DSV</vt:lpstr>
      <vt:lpstr>Consistency test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Jiaxuan Li</dc:creator>
  <cp:lastModifiedBy>Jiaxuan Li</cp:lastModifiedBy>
  <dcterms:created xsi:type="dcterms:W3CDTF">2025-06-30T11:18:40Z</dcterms:created>
  <dcterms:modified xsi:type="dcterms:W3CDTF">2025-11-17T12:45:06Z</dcterms:modified>
</cp:coreProperties>
</file>